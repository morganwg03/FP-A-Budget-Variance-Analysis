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worsfold-gregg/Documents/BA Projects /Finance Project /Excel/"/>
    </mc:Choice>
  </mc:AlternateContent>
  <xr:revisionPtr revIDLastSave="0" documentId="8_{4BFCD925-CCFD-3D48-9DCE-2F7018E2FF60}" xr6:coauthVersionLast="47" xr6:coauthVersionMax="47" xr10:uidLastSave="{00000000-0000-0000-0000-000000000000}"/>
  <bookViews>
    <workbookView xWindow="0" yWindow="740" windowWidth="15420" windowHeight="18380" firstSheet="3" activeTab="6" xr2:uid="{04552271-3D99-5D45-9F3F-F4C25AC663F1}"/>
  </bookViews>
  <sheets>
    <sheet name="Monthly Data" sheetId="2" r:id="rId1"/>
    <sheet name="Department Analysis" sheetId="4" r:id="rId2"/>
    <sheet name="Category Analysis" sheetId="5" r:id="rId3"/>
    <sheet name="Region Analysis" sheetId="6" r:id="rId4"/>
    <sheet name="Forecast 2023" sheetId="7" r:id="rId5"/>
    <sheet name="Scenario Analysis" sheetId="3" r:id="rId6"/>
    <sheet name="Dashboard" sheetId="8" r:id="rId7"/>
  </sheets>
  <definedNames>
    <definedName name="ExternalData_1" localSheetId="2" hidden="1">'Category Analysis'!$A$1:$E$7</definedName>
    <definedName name="ExternalData_1" localSheetId="1" hidden="1">'Department Analysis'!$A$1:$E$7</definedName>
    <definedName name="ExternalData_1" localSheetId="4" hidden="1">'Forecast 2023'!$A$1:$C$13</definedName>
    <definedName name="ExternalData_1" localSheetId="0" hidden="1">'Monthly Data'!$A$1:$F$37</definedName>
    <definedName name="ExternalData_1" localSheetId="3" hidden="1">'Region Analysis'!$A$1:$E$6</definedName>
  </definedNames>
  <calcPr calcId="191029"/>
  <pivotCaches>
    <pivotCache cacheId="3" r:id="rId8"/>
    <pivotCache cacheId="4" r:id="rId9"/>
    <pivotCache cacheId="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9" i="8" l="1"/>
  <c r="B12" i="3"/>
  <c r="B11" i="3"/>
  <c r="B10" i="3"/>
  <c r="B9" i="3"/>
  <c r="D6" i="3"/>
  <c r="C6" i="3"/>
  <c r="I15" i="7"/>
  <c r="E25" i="7" s="1"/>
  <c r="C9" i="8"/>
  <c r="H6" i="8"/>
  <c r="E3" i="6"/>
  <c r="E4" i="6"/>
  <c r="E5" i="6"/>
  <c r="E6" i="6"/>
  <c r="E2" i="6"/>
  <c r="E3" i="5"/>
  <c r="E4" i="5"/>
  <c r="E5" i="5"/>
  <c r="E6" i="5"/>
  <c r="E7" i="5"/>
  <c r="E2" i="5"/>
  <c r="E3" i="4"/>
  <c r="E4" i="4"/>
  <c r="E5" i="4"/>
  <c r="E6" i="4"/>
  <c r="E7" i="4"/>
  <c r="E2" i="4"/>
  <c r="D5" i="3"/>
  <c r="D4" i="3"/>
  <c r="B33" i="7"/>
  <c r="B31" i="7"/>
  <c r="B28" i="7"/>
  <c r="C28" i="7"/>
  <c r="H9" i="8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16" i="7"/>
  <c r="F16" i="7" s="1"/>
  <c r="B6" i="8"/>
  <c r="E6" i="8"/>
  <c r="E27" i="7" l="1"/>
  <c r="F27" i="7" s="1"/>
  <c r="E26" i="7"/>
  <c r="K6" i="8"/>
  <c r="F26" i="7"/>
  <c r="B32" i="7" l="1"/>
  <c r="E6" i="3"/>
  <c r="C5" i="3"/>
  <c r="E5" i="3" s="1"/>
  <c r="N6" i="8" s="1"/>
  <c r="C4" i="3"/>
  <c r="E4" i="3" s="1"/>
  <c r="E28" i="7"/>
  <c r="F25" i="7"/>
  <c r="F28" i="7" s="1"/>
  <c r="B35" i="7" l="1"/>
  <c r="B34" i="7"/>
  <c r="B36" i="7"/>
  <c r="F5" i="3"/>
  <c r="G5" i="3" s="1"/>
  <c r="F4" i="3"/>
  <c r="G4" i="3" s="1"/>
  <c r="F6" i="3"/>
  <c r="G6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F748DB-1823-2E46-85A1-0BA362290603}" keepAlive="1" name="Query - category_performance" description="Connection to the 'category_performance' query in the workbook." type="5" refreshedVersion="8" background="1" saveData="1">
    <dbPr connection="Provider=Microsoft.Mashup.OleDb.1;Data Source=$Workbook$;Location=category_performance;Extended Properties=&quot;&quot;" command="SELECT * FROM [category_performance]"/>
  </connection>
  <connection id="2" xr16:uid="{E68EC2DF-7B5C-914E-8076-2E32DC579172}" keepAlive="1" name="Query - department_performance" description="Connection to the 'department_performance' query in the workbook." type="5" refreshedVersion="8" background="1" saveData="1">
    <dbPr connection="Provider=Microsoft.Mashup.OleDb.1;Data Source=$Workbook$;Location=department_performance;Extended Properties=&quot;&quot;" command="SELECT * FROM [department_performance]"/>
  </connection>
  <connection id="3" xr16:uid="{EE4469B2-D7F1-C141-8744-70D9E9313E9E}" keepAlive="1" name="Query - forecast_2023_input" description="Connection to the 'forecast_2023_input' query in the workbook." type="5" refreshedVersion="8" background="1" saveData="1">
    <dbPr connection="Provider=Microsoft.Mashup.OleDb.1;Data Source=$Workbook$;Location=forecast_2023_input;Extended Properties=&quot;&quot;" command="SELECT * FROM [forecast_2023_input]"/>
  </connection>
  <connection id="4" xr16:uid="{51405080-5F22-A945-9E28-08755318645F}" keepAlive="1" name="Query - monthly_performance" description="Connection to the 'monthly_performance' query in the workbook." type="5" refreshedVersion="8" background="1" saveData="1">
    <dbPr connection="Provider=Microsoft.Mashup.OleDb.1;Data Source=$Workbook$;Location=monthly_performance;Extended Properties=&quot;&quot;" command="SELECT * FROM [monthly_performance]"/>
  </connection>
  <connection id="5" xr16:uid="{6D4EB925-6E3B-C942-B7E6-89113CA48FCF}" keepAlive="1" name="Query - region_performance" description="Connection to the 'region_performance' query in the workbook." type="5" refreshedVersion="8" background="1" saveData="1">
    <dbPr connection="Provider=Microsoft.Mashup.OleDb.1;Data Source=$Workbook$;Location=region_performance;Extended Properties=&quot;&quot;" command="SELECT * FROM [region_performance]"/>
  </connection>
</connections>
</file>

<file path=xl/sharedStrings.xml><?xml version="1.0" encoding="utf-8"?>
<sst xmlns="http://schemas.openxmlformats.org/spreadsheetml/2006/main" count="181" uniqueCount="88">
  <si>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</si>
  <si>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</si>
  <si>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</si>
  <si>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</si>
  <si>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</si>
  <si>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</si>
  <si>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</si>
  <si>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</si>
  <si>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</si>
  <si>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</si>
  <si>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</si>
  <si>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</si>
  <si>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Marketing</t>
  </si>
  <si>
    <t>HR</t>
  </si>
  <si>
    <t>Sales</t>
  </si>
  <si>
    <t>Operations</t>
  </si>
  <si>
    <t>IT</t>
  </si>
  <si>
    <t>Finance</t>
  </si>
  <si>
    <t>Salaries</t>
  </si>
  <si>
    <t>Utilities</t>
  </si>
  <si>
    <t>Travel</t>
  </si>
  <si>
    <t>Infrastructure</t>
  </si>
  <si>
    <t>Training</t>
  </si>
  <si>
    <t>East</t>
  </si>
  <si>
    <t>Central</t>
  </si>
  <si>
    <t>South</t>
  </si>
  <si>
    <t>West</t>
  </si>
  <si>
    <t>North</t>
  </si>
  <si>
    <t>Row Labels</t>
  </si>
  <si>
    <t>Grand Total</t>
  </si>
  <si>
    <t>Year</t>
  </si>
  <si>
    <t>Month</t>
  </si>
  <si>
    <t>Budget</t>
  </si>
  <si>
    <t>Actual</t>
  </si>
  <si>
    <t>Variance Amount</t>
  </si>
  <si>
    <t>Variance %</t>
  </si>
  <si>
    <t>Department</t>
  </si>
  <si>
    <t xml:space="preserve">Variance Amount </t>
  </si>
  <si>
    <t>Category</t>
  </si>
  <si>
    <t xml:space="preserve">Variance % </t>
  </si>
  <si>
    <t>Region</t>
  </si>
  <si>
    <t xml:space="preserve">Sum of Variance Amount </t>
  </si>
  <si>
    <t>Sum of Budget</t>
  </si>
  <si>
    <t>Sum of Actual</t>
  </si>
  <si>
    <t xml:space="preserve">Month </t>
  </si>
  <si>
    <t xml:space="preserve">Budget </t>
  </si>
  <si>
    <t xml:space="preserve">Actual Used </t>
  </si>
  <si>
    <t>Forecast</t>
  </si>
  <si>
    <t>Variance to Budget</t>
  </si>
  <si>
    <t xml:space="preserve">Jan </t>
  </si>
  <si>
    <t>/</t>
  </si>
  <si>
    <t>Total</t>
  </si>
  <si>
    <t xml:space="preserve">2023 Budget </t>
  </si>
  <si>
    <t xml:space="preserve">2023 Forecast </t>
  </si>
  <si>
    <t xml:space="preserve">2023 Actual </t>
  </si>
  <si>
    <t xml:space="preserve">Forecast Error ($) </t>
  </si>
  <si>
    <t>Forecast Error (%)</t>
  </si>
  <si>
    <t xml:space="preserve">Forecast vs Budget </t>
  </si>
  <si>
    <t xml:space="preserve">2023 Forecast Table </t>
  </si>
  <si>
    <t xml:space="preserve">2023 Scenario Analysis </t>
  </si>
  <si>
    <t xml:space="preserve">Scenario </t>
  </si>
  <si>
    <t xml:space="preserve">Q4 Adjustment </t>
  </si>
  <si>
    <t xml:space="preserve">Q4 Forecast </t>
  </si>
  <si>
    <t xml:space="preserve">Jan-Sept Actual </t>
  </si>
  <si>
    <t xml:space="preserve">Variance to Budget </t>
  </si>
  <si>
    <t>Low Spend</t>
  </si>
  <si>
    <t xml:space="preserve">Base Case </t>
  </si>
  <si>
    <t>High Spend</t>
  </si>
  <si>
    <t xml:space="preserve">Full-Year Forecast </t>
  </si>
  <si>
    <t>Full Year Spend</t>
  </si>
  <si>
    <t xml:space="preserve">Low Spend </t>
  </si>
  <si>
    <t xml:space="preserve">High Spend </t>
  </si>
  <si>
    <t xml:space="preserve">FP&amp;A Actual vs Budget Dashboard </t>
  </si>
  <si>
    <t>2021-2023 Financial Performance, Forecasting and Scenario Analysis</t>
  </si>
  <si>
    <t xml:space="preserve">Total Actual  </t>
  </si>
  <si>
    <t xml:space="preserve">Total Variance </t>
  </si>
  <si>
    <t>Total Budget</t>
  </si>
  <si>
    <t>Variance</t>
  </si>
  <si>
    <t xml:space="preserve">Budget Perfomance: </t>
  </si>
  <si>
    <t xml:space="preserve">Actual spending exceed the $795.5M budget by approximately $94.8M (unfavorable Variance of 11.9%) </t>
  </si>
  <si>
    <t xml:space="preserve">Marketing generated the largest departmental unfavorable variance at approximately $19.9M </t>
  </si>
  <si>
    <t>Primary Cost Driver:</t>
  </si>
  <si>
    <t>Forecast and Scenario Analysis:</t>
  </si>
  <si>
    <t>Key Insights:</t>
  </si>
  <si>
    <t>YTD Run Rate Factor</t>
  </si>
  <si>
    <t>** Yellow indicates Q4 Forecast</t>
  </si>
  <si>
    <t>Forecast Variance  %</t>
  </si>
  <si>
    <t xml:space="preserve">    September YTD performance projected full-year spending of $298.9M against a $272.5M budget. The forecast finished within 0.4% of actual year-end spending, while scenario analysis showed spending remaining above budget even with Q4 spend 5% below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</si>
</sst>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409]#,##0"/>
    <numFmt numFmtId="165" formatCode="0.0%"/>
    <numFmt numFmtId="166" formatCode="[$$-409]#,##0.00"/>
    <numFmt numFmtId="167" formatCode="[$$-409]#,##0_);\([$$-409]#,##0\)"/>
    <numFmt numFmtId="168" formatCode="\$0.0,,&quot;M&quot;"/>
  </numFmts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rgb="FF0070C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6"/>
      <color rgb="FF0070C0"/>
      <name val="Aptos Narrow"/>
      <family val="2"/>
      <scheme val="minor"/>
    </font>
    <font>
      <b/>
      <sz val="26"/>
      <color rgb="FF0070C0"/>
      <name val="Aptos Narrow"/>
      <scheme val="minor"/>
    </font>
    <font>
      <b/>
      <sz val="11"/>
      <color rgb="FF0070C0"/>
      <name val="Aptos Narrow"/>
      <scheme val="minor"/>
    </font>
    <font>
      <b/>
      <sz val="12"/>
      <color rgb="FF0070C0"/>
      <name val="Aptos Narrow"/>
      <scheme val="minor"/>
    </font>
    <font>
      <sz val="12"/>
      <color rgb="FF0070C0"/>
      <name val="Aptos Narrow (Body)"/>
    </font>
    <font>
      <b/>
      <sz val="22"/>
      <color rgb="FF0070C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1" fillId="0" borderId="0" xfId="0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0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vertical="center" wrapText="1" shrinkToFi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 shrinkToFit="1"/>
    </xf>
    <xf numFmtId="167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 shrinkToFit="1"/>
    </xf>
    <xf numFmtId="164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10" fontId="6" fillId="0" borderId="0" xfId="1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8" fontId="6" fillId="0" borderId="8" xfId="0" applyNumberFormat="1" applyFont="1" applyBorder="1" applyAlignment="1">
      <alignment horizontal="center" vertical="center" wrapText="1"/>
    </xf>
    <xf numFmtId="168" fontId="6" fillId="0" borderId="9" xfId="0" applyNumberFormat="1" applyFont="1" applyBorder="1" applyAlignment="1">
      <alignment horizontal="center" vertical="center" wrapText="1"/>
    </xf>
    <xf numFmtId="10" fontId="6" fillId="0" borderId="8" xfId="1" applyNumberFormat="1" applyFont="1" applyBorder="1" applyAlignment="1">
      <alignment horizontal="center" vertical="center"/>
    </xf>
    <xf numFmtId="10" fontId="6" fillId="0" borderId="9" xfId="1" applyNumberFormat="1" applyFont="1" applyBorder="1" applyAlignment="1">
      <alignment horizontal="center" vertical="center"/>
    </xf>
    <xf numFmtId="168" fontId="6" fillId="0" borderId="8" xfId="0" applyNumberFormat="1" applyFont="1" applyBorder="1" applyAlignment="1">
      <alignment horizontal="center" vertical="center"/>
    </xf>
    <xf numFmtId="168" fontId="6" fillId="0" borderId="9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 shrinkToFit="1"/>
    </xf>
    <xf numFmtId="164" fontId="6" fillId="0" borderId="5" xfId="0" applyNumberFormat="1" applyFont="1" applyBorder="1" applyAlignment="1">
      <alignment horizontal="center" vertical="center" wrapText="1" shrinkToFit="1"/>
    </xf>
    <xf numFmtId="164" fontId="6" fillId="0" borderId="7" xfId="0" applyNumberFormat="1" applyFont="1" applyBorder="1" applyAlignment="1">
      <alignment horizontal="center" vertical="center" wrapText="1" shrinkToFit="1"/>
    </xf>
    <xf numFmtId="164" fontId="6" fillId="0" borderId="5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8" fontId="6" fillId="0" borderId="8" xfId="0" applyNumberFormat="1" applyFont="1" applyBorder="1" applyAlignment="1">
      <alignment horizontal="center" vertical="center" wrapText="1" shrinkToFit="1"/>
    </xf>
    <xf numFmtId="168" fontId="6" fillId="0" borderId="9" xfId="0" applyNumberFormat="1" applyFont="1" applyBorder="1" applyAlignment="1">
      <alignment horizontal="center" vertical="center" wrapText="1" shrinkToFi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8" fontId="8" fillId="0" borderId="8" xfId="0" applyNumberFormat="1" applyFont="1" applyBorder="1" applyAlignment="1">
      <alignment horizontal="center" vertical="center"/>
    </xf>
    <xf numFmtId="168" fontId="8" fillId="0" borderId="4" xfId="0" applyNumberFormat="1" applyFont="1" applyBorder="1" applyAlignment="1">
      <alignment horizontal="center" vertical="center"/>
    </xf>
    <xf numFmtId="168" fontId="8" fillId="0" borderId="9" xfId="0" applyNumberFormat="1" applyFont="1" applyBorder="1" applyAlignment="1">
      <alignment horizontal="center" vertical="center"/>
    </xf>
    <xf numFmtId="10" fontId="8" fillId="0" borderId="8" xfId="0" applyNumberFormat="1" applyFont="1" applyBorder="1" applyAlignment="1">
      <alignment horizontal="center" vertical="center"/>
    </xf>
    <xf numFmtId="10" fontId="8" fillId="0" borderId="4" xfId="0" applyNumberFormat="1" applyFont="1" applyBorder="1" applyAlignment="1">
      <alignment horizontal="center" vertical="center"/>
    </xf>
    <xf numFmtId="10" fontId="8" fillId="0" borderId="9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</cellXfs>
  <cellStyles count="2">
    <cellStyle name="Normal" xfId="0" builtinId="0"/>
    <cellStyle name="Per cent" xfId="1" builtinId="5"/>
  </cellStyles>
  <dxfs count="59"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$-409]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66" formatCode="[$$-409]#,##0.00"/>
      <alignment horizontal="center" vertical="center" textRotation="0" wrapText="0" indent="0" justifyLastLine="0" shrinkToFit="0" readingOrder="0"/>
    </dxf>
    <dxf>
      <numFmt numFmtId="166" formatCode="[$$-409]#,##0.00"/>
      <alignment horizontal="center" vertical="center" textRotation="0" wrapText="0" indent="0" justifyLastLine="0" shrinkToFit="0" readingOrder="0"/>
    </dxf>
    <dxf>
      <numFmt numFmtId="166" formatCode="[$$-409]#,##0.00"/>
      <alignment horizontal="center" vertical="center" textRotation="0" wrapText="0" indent="0" justifyLastLine="0" shrinkToFit="0" readingOrder="0"/>
    </dxf>
    <dxf>
      <numFmt numFmtId="166" formatCode="[$$-409]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$-409]#,##0.00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E6D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Analysis'!$D$1</c:f>
              <c:strCache>
                <c:ptCount val="1"/>
                <c:pt idx="0">
                  <c:v>Variance 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Analysis'!$A$2:$A$8</c:f>
              <c:strCache>
                <c:ptCount val="6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Operations</c:v>
                </c:pt>
                <c:pt idx="4">
                  <c:v>IT</c:v>
                </c:pt>
                <c:pt idx="5">
                  <c:v>Finance</c:v>
                </c:pt>
              </c:strCache>
            </c:strRef>
          </c:cat>
          <c:val>
            <c:numRef>
              <c:f>'Department Analysis'!$D$2:$D$8</c:f>
              <c:numCache>
                <c:formatCode>[$$-409]#,##0</c:formatCode>
                <c:ptCount val="7"/>
                <c:pt idx="0">
                  <c:v>19876619</c:v>
                </c:pt>
                <c:pt idx="1">
                  <c:v>18068600</c:v>
                </c:pt>
                <c:pt idx="2">
                  <c:v>16654580</c:v>
                </c:pt>
                <c:pt idx="3">
                  <c:v>15181774</c:v>
                </c:pt>
                <c:pt idx="4">
                  <c:v>13892025</c:v>
                </c:pt>
                <c:pt idx="5">
                  <c:v>11137380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2-BB40-AEFE-A34785271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630623"/>
        <c:axId val="671716111"/>
      </c:barChart>
      <c:catAx>
        <c:axId val="67163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16111"/>
        <c:crosses val="autoZero"/>
        <c:auto val="1"/>
        <c:lblAlgn val="ctr"/>
        <c:lblOffset val="100"/>
        <c:noMultiLvlLbl val="0"/>
      </c:catAx>
      <c:valAx>
        <c:axId val="67171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3062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'Category Analysis'!$A$2:$A$7</c:f>
              <c:strCache>
                <c:ptCount val="6"/>
                <c:pt idx="0">
                  <c:v>Salaries</c:v>
                </c:pt>
                <c:pt idx="1">
                  <c:v>Utilities</c:v>
                </c:pt>
                <c:pt idx="2">
                  <c:v>Marketing</c:v>
                </c:pt>
                <c:pt idx="3">
                  <c:v>Travel</c:v>
                </c:pt>
                <c:pt idx="4">
                  <c:v>Infrastructure</c:v>
                </c:pt>
                <c:pt idx="5">
                  <c:v>Training</c:v>
                </c:pt>
              </c:strCache>
            </c:strRef>
          </c:cat>
          <c:val>
            <c:numRef>
              <c:f>'Category Analysis'!$B$2:$B$7</c:f>
              <c:numCache>
                <c:formatCode>[$$-409]#,##0</c:formatCode>
                <c:ptCount val="6"/>
                <c:pt idx="0">
                  <c:v>127131160</c:v>
                </c:pt>
                <c:pt idx="1">
                  <c:v>137891618</c:v>
                </c:pt>
                <c:pt idx="2">
                  <c:v>130224132</c:v>
                </c:pt>
                <c:pt idx="3">
                  <c:v>140071130</c:v>
                </c:pt>
                <c:pt idx="4">
                  <c:v>127813870</c:v>
                </c:pt>
                <c:pt idx="5">
                  <c:v>132399473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2-394D-A7FD-0487DABD1E2B}"/>
            </c:ext>
          </c:extLst>
        </c:ser>
        <c:ser>
          <c:idx val="1"/>
          <c:order val="1"/>
          <c:tx>
            <c:strRef>
              <c:f>'Category Analysis'!$C$1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'Category Analysis'!$A$2:$A$7</c:f>
              <c:strCache>
                <c:ptCount val="6"/>
                <c:pt idx="0">
                  <c:v>Salaries</c:v>
                </c:pt>
                <c:pt idx="1">
                  <c:v>Utilities</c:v>
                </c:pt>
                <c:pt idx="2">
                  <c:v>Marketing</c:v>
                </c:pt>
                <c:pt idx="3">
                  <c:v>Travel</c:v>
                </c:pt>
                <c:pt idx="4">
                  <c:v>Infrastructure</c:v>
                </c:pt>
                <c:pt idx="5">
                  <c:v>Training</c:v>
                </c:pt>
              </c:strCache>
            </c:strRef>
          </c:cat>
          <c:val>
            <c:numRef>
              <c:f>'Category Analysis'!$C$2:$C$7</c:f>
              <c:numCache>
                <c:formatCode>[$$-409]#,##0</c:formatCode>
                <c:ptCount val="6"/>
                <c:pt idx="0">
                  <c:v>147744247</c:v>
                </c:pt>
                <c:pt idx="1">
                  <c:v>155260320</c:v>
                </c:pt>
                <c:pt idx="2">
                  <c:v>146525696</c:v>
                </c:pt>
                <c:pt idx="3">
                  <c:v>154999674</c:v>
                </c:pt>
                <c:pt idx="4">
                  <c:v>140825422</c:v>
                </c:pt>
                <c:pt idx="5">
                  <c:v>145010926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82-394D-A7FD-0487DABD1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1464624"/>
        <c:axId val="1607750880"/>
      </c:barChart>
      <c:catAx>
        <c:axId val="87146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50880"/>
        <c:crosses val="autoZero"/>
        <c:auto val="1"/>
        <c:lblAlgn val="ctr"/>
        <c:lblOffset val="100"/>
        <c:noMultiLvlLbl val="0"/>
      </c:catAx>
      <c:valAx>
        <c:axId val="160775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46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Analysis'!$D$1</c:f>
              <c:strCache>
                <c:ptCount val="1"/>
                <c:pt idx="0">
                  <c:v>Variance 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Analysis'!$A$2:$A$6</c:f>
              <c:strCache>
                <c:ptCount val="5"/>
                <c:pt idx="0">
                  <c:v>East</c:v>
                </c:pt>
                <c:pt idx="1">
                  <c:v>Central</c:v>
                </c:pt>
                <c:pt idx="2">
                  <c:v>South</c:v>
                </c:pt>
                <c:pt idx="3">
                  <c:v>West</c:v>
                </c:pt>
                <c:pt idx="4">
                  <c:v>North</c:v>
                </c:pt>
              </c:strCache>
            </c:strRef>
          </c:cat>
          <c:val>
            <c:numRef>
              <c:f>'Region Analysis'!$D$2:$D$6</c:f>
              <c:numCache>
                <c:formatCode>[$$-409]#,##0</c:formatCode>
                <c:ptCount val="5"/>
                <c:pt idx="0">
                  <c:v>21391177</c:v>
                </c:pt>
                <c:pt idx="1">
                  <c:v>19432887</c:v>
                </c:pt>
                <c:pt idx="2">
                  <c:v>18769260</c:v>
                </c:pt>
                <c:pt idx="3">
                  <c:v>18501339</c:v>
                </c:pt>
                <c:pt idx="4">
                  <c:v>16532154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A-DC4B-BDE6-5195F0CCA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266272"/>
        <c:axId val="872169824"/>
      </c:barChart>
      <c:catAx>
        <c:axId val="87226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169824"/>
        <c:crosses val="autoZero"/>
        <c:auto val="1"/>
        <c:lblAlgn val="ctr"/>
        <c:lblOffset val="100"/>
        <c:noMultiLvlLbl val="0"/>
      </c:catAx>
      <c:valAx>
        <c:axId val="87216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26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590556645374224"/>
          <c:y val="1.7743979721166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Analysis'!$B$8</c:f>
              <c:strCache>
                <c:ptCount val="1"/>
                <c:pt idx="0">
                  <c:v>Full Year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Analysis'!$A$9:$A$12</c:f>
              <c:strCache>
                <c:ptCount val="4"/>
                <c:pt idx="0">
                  <c:v>Budget </c:v>
                </c:pt>
                <c:pt idx="1">
                  <c:v>Low Spend </c:v>
                </c:pt>
                <c:pt idx="2">
                  <c:v>Base Case </c:v>
                </c:pt>
                <c:pt idx="3">
                  <c:v>High Spend </c:v>
                </c:pt>
              </c:strCache>
            </c:strRef>
          </c:cat>
          <c:val>
            <c:numRef>
              <c:f>'Scenario Analysis'!$B$9:$B$12</c:f>
              <c:numCache>
                <c:formatCode>[$$-409]#,##0.00</c:formatCode>
                <c:ptCount val="4"/>
                <c:pt idx="0">
                  <c:v>272455972</c:v>
                </c:pt>
                <c:pt idx="1">
                  <c:v>295293612.72709298</c:v>
                </c:pt>
                <c:pt idx="2">
                  <c:v>298890512.9758873</c:v>
                </c:pt>
                <c:pt idx="3">
                  <c:v>302487413.22468174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1-3243-A072-1F5D11F7F0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979824"/>
        <c:axId val="1116025840"/>
      </c:barChart>
      <c:catAx>
        <c:axId val="111597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Scenario </a:t>
                </a:r>
              </a:p>
            </c:rich>
          </c:tx>
          <c:layout>
            <c:manualLayout>
              <c:xMode val="edge"/>
              <c:yMode val="edge"/>
              <c:x val="0.47819504171971566"/>
              <c:y val="0.900113968643653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025840"/>
        <c:crosses val="autoZero"/>
        <c:auto val="1"/>
        <c:lblAlgn val="ctr"/>
        <c:lblOffset val="100"/>
        <c:noMultiLvlLbl val="0"/>
      </c:catAx>
      <c:valAx>
        <c:axId val="1116025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Amount</a:t>
                </a:r>
                <a:r>
                  <a:rPr lang="en-GB" sz="2000" baseline="0"/>
                  <a:t> in $ (millions)</a:t>
                </a:r>
                <a:endParaRPr lang="en-GB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979824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0070C0"/>
                </a:solidFill>
              </a:rPr>
              <a:t>Budget Vs Actual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Analysis'!$B$1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'Department Analysis'!$A$2:$A$7</c:f>
              <c:strCache>
                <c:ptCount val="6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Operations</c:v>
                </c:pt>
                <c:pt idx="4">
                  <c:v>IT</c:v>
                </c:pt>
                <c:pt idx="5">
                  <c:v>Finance</c:v>
                </c:pt>
              </c:strCache>
            </c:strRef>
          </c:cat>
          <c:val>
            <c:numRef>
              <c:f>'Department Analysis'!$B$2:$B$7</c:f>
              <c:numCache>
                <c:formatCode>[$$-409]#,##0</c:formatCode>
                <c:ptCount val="6"/>
                <c:pt idx="0">
                  <c:v>131939479</c:v>
                </c:pt>
                <c:pt idx="1">
                  <c:v>137371163</c:v>
                </c:pt>
                <c:pt idx="2">
                  <c:v>134804760</c:v>
                </c:pt>
                <c:pt idx="3">
                  <c:v>132622213</c:v>
                </c:pt>
                <c:pt idx="4">
                  <c:v>125771001</c:v>
                </c:pt>
                <c:pt idx="5">
                  <c:v>132947149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1-8746-9184-B2CED9F9FD1E}"/>
            </c:ext>
          </c:extLst>
        </c:ser>
        <c:ser>
          <c:idx val="1"/>
          <c:order val="1"/>
          <c:tx>
            <c:strRef>
              <c:f>'Department Analysis'!$C$1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'Department Analysis'!$A$2:$A$7</c:f>
              <c:strCache>
                <c:ptCount val="6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Operations</c:v>
                </c:pt>
                <c:pt idx="4">
                  <c:v>IT</c:v>
                </c:pt>
                <c:pt idx="5">
                  <c:v>Finance</c:v>
                </c:pt>
              </c:strCache>
            </c:strRef>
          </c:cat>
          <c:val>
            <c:numRef>
              <c:f>'Department Analysis'!$C$2:$C$7</c:f>
              <c:numCache>
                <c:formatCode>[$$-409]#,##0</c:formatCode>
                <c:ptCount val="6"/>
                <c:pt idx="0">
                  <c:v>151816098</c:v>
                </c:pt>
                <c:pt idx="1">
                  <c:v>155439763</c:v>
                </c:pt>
                <c:pt idx="2">
                  <c:v>151459340</c:v>
                </c:pt>
                <c:pt idx="3">
                  <c:v>147803987</c:v>
                </c:pt>
                <c:pt idx="4">
                  <c:v>139663026</c:v>
                </c:pt>
                <c:pt idx="5">
                  <c:v>144084529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81-8746-9184-B2CED9F9F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233919"/>
        <c:axId val="660750415"/>
      </c:barChart>
      <c:catAx>
        <c:axId val="66123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50415"/>
        <c:crosses val="autoZero"/>
        <c:auto val="1"/>
        <c:lblAlgn val="ctr"/>
        <c:lblOffset val="100"/>
        <c:noMultiLvlLbl val="0"/>
      </c:catAx>
      <c:valAx>
        <c:axId val="66075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23391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70C0"/>
                </a:solidFill>
              </a:rPr>
              <a:t>Unfavorable Variance by</a:t>
            </a:r>
            <a:r>
              <a:rPr lang="en-US" baseline="0">
                <a:solidFill>
                  <a:srgbClr val="0070C0"/>
                </a:solidFill>
              </a:rPr>
              <a:t> Department</a:t>
            </a:r>
            <a:r>
              <a:rPr lang="en-US">
                <a:solidFill>
                  <a:srgbClr val="0070C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Analysis'!$D$1</c:f>
              <c:strCache>
                <c:ptCount val="1"/>
                <c:pt idx="0">
                  <c:v>Variance Amount 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[$$-409]#,##0.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Analysis'!$A$2:$A$7</c:f>
              <c:strCache>
                <c:ptCount val="6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Operations</c:v>
                </c:pt>
                <c:pt idx="4">
                  <c:v>IT</c:v>
                </c:pt>
                <c:pt idx="5">
                  <c:v>Finance</c:v>
                </c:pt>
              </c:strCache>
            </c:strRef>
          </c:cat>
          <c:val>
            <c:numRef>
              <c:f>'Department Analysis'!$D$2:$D$7</c:f>
              <c:numCache>
                <c:formatCode>[$$-409]#,##0</c:formatCode>
                <c:ptCount val="6"/>
                <c:pt idx="0">
                  <c:v>19876619</c:v>
                </c:pt>
                <c:pt idx="1">
                  <c:v>18068600</c:v>
                </c:pt>
                <c:pt idx="2">
                  <c:v>16654580</c:v>
                </c:pt>
                <c:pt idx="3">
                  <c:v>15181774</c:v>
                </c:pt>
                <c:pt idx="4">
                  <c:v>13892025</c:v>
                </c:pt>
                <c:pt idx="5">
                  <c:v>11137380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2-0D45-B212-3FCA7C82E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8410464"/>
        <c:axId val="1190525616"/>
      </c:barChart>
      <c:catAx>
        <c:axId val="135841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25616"/>
        <c:crosses val="autoZero"/>
        <c:auto val="1"/>
        <c:lblAlgn val="ctr"/>
        <c:lblOffset val="100"/>
        <c:noMultiLvlLbl val="0"/>
      </c:catAx>
      <c:valAx>
        <c:axId val="119052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1046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70C0"/>
                </a:solidFill>
              </a:rPr>
              <a:t>2023 Budget vs Forecast vs</a:t>
            </a:r>
            <a:r>
              <a:rPr lang="en-US" baseline="0">
                <a:solidFill>
                  <a:srgbClr val="0070C0"/>
                </a:solidFill>
              </a:rPr>
              <a:t> Actual</a:t>
            </a:r>
            <a:endParaRPr lang="en-US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2023'!$B$30</c:f>
              <c:strCache>
                <c:ptCount val="1"/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[$$-409]#,##0.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'Forecast 2023'!$A$31:$A$33</c:f>
              <c:strCache>
                <c:ptCount val="3"/>
                <c:pt idx="0">
                  <c:v>2023 Budget </c:v>
                </c:pt>
                <c:pt idx="1">
                  <c:v>2023 Forecast </c:v>
                </c:pt>
                <c:pt idx="2">
                  <c:v>2023 Actual </c:v>
                </c:pt>
              </c:strCache>
            </c:strRef>
          </c:cat>
          <c:val>
            <c:numRef>
              <c:f>'Forecast 2023'!$B$31:$B$33</c:f>
              <c:numCache>
                <c:formatCode>[$$-409]#,##0</c:formatCode>
                <c:ptCount val="3"/>
                <c:pt idx="0">
                  <c:v>272455972</c:v>
                </c:pt>
                <c:pt idx="1">
                  <c:v>298890512.97588736</c:v>
                </c:pt>
                <c:pt idx="2">
                  <c:v>300001134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8-7943-A66D-BD702AB6C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970992"/>
        <c:axId val="1415911952"/>
      </c:barChart>
      <c:catAx>
        <c:axId val="141597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11952"/>
        <c:crosses val="autoZero"/>
        <c:auto val="1"/>
        <c:lblAlgn val="ctr"/>
        <c:lblOffset val="100"/>
        <c:noMultiLvlLbl val="0"/>
      </c:catAx>
      <c:valAx>
        <c:axId val="1415911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7099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70C0"/>
                </a:solidFill>
              </a:rPr>
              <a:t>2023 Full-Year Spend Scenarios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Analysis'!$B$8</c:f>
              <c:strCache>
                <c:ptCount val="1"/>
                <c:pt idx="0">
                  <c:v>Full Year Spend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[$$-409]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Analysis'!$A$9:$A$12</c:f>
              <c:strCache>
                <c:ptCount val="4"/>
                <c:pt idx="0">
                  <c:v>Budget </c:v>
                </c:pt>
                <c:pt idx="1">
                  <c:v>Low Spend </c:v>
                </c:pt>
                <c:pt idx="2">
                  <c:v>Base Case </c:v>
                </c:pt>
                <c:pt idx="3">
                  <c:v>High Spend </c:v>
                </c:pt>
              </c:strCache>
            </c:strRef>
          </c:cat>
          <c:val>
            <c:numRef>
              <c:f>'Scenario Analysis'!$B$9:$B$12</c:f>
              <c:numCache>
                <c:formatCode>[$$-409]#,##0.00</c:formatCode>
                <c:ptCount val="4"/>
                <c:pt idx="0">
                  <c:v>272455972</c:v>
                </c:pt>
                <c:pt idx="1">
                  <c:v>295293612.72709298</c:v>
                </c:pt>
                <c:pt idx="2">
                  <c:v>298890512.9758873</c:v>
                </c:pt>
                <c:pt idx="3">
                  <c:v>302487413.22468174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9-9D4F-8449-1BE1DB79F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213120"/>
        <c:axId val="1710434496"/>
      </c:barChart>
      <c:catAx>
        <c:axId val="171121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434496"/>
        <c:crosses val="autoZero"/>
        <c:auto val="1"/>
        <c:lblAlgn val="ctr"/>
        <c:lblOffset val="100"/>
        <c:noMultiLvlLbl val="0"/>
      </c:catAx>
      <c:valAx>
        <c:axId val="1710434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1312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9</xdr:row>
      <xdr:rowOff>50800</xdr:rowOff>
    </xdr:from>
    <xdr:to>
      <xdr:col>4</xdr:col>
      <xdr:colOff>1828800</xdr:colOff>
      <xdr:row>29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2D975-3E13-65A0-5904-FE6B93D7F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196850</xdr:rowOff>
    </xdr:from>
    <xdr:to>
      <xdr:col>5</xdr:col>
      <xdr:colOff>0</xdr:colOff>
      <xdr:row>26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017D1-6814-7887-7FA5-F123615EF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184150</xdr:rowOff>
    </xdr:from>
    <xdr:to>
      <xdr:col>5</xdr:col>
      <xdr:colOff>0</xdr:colOff>
      <xdr:row>26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FBB4DB-B11B-4C8F-8CC9-39FC12952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12</xdr:row>
      <xdr:rowOff>184150</xdr:rowOff>
    </xdr:from>
    <xdr:to>
      <xdr:col>3</xdr:col>
      <xdr:colOff>2273300</xdr:colOff>
      <xdr:row>37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BC3A2-8A01-2B90-8A59-5AEFB3A45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10</xdr:row>
      <xdr:rowOff>25400</xdr:rowOff>
    </xdr:from>
    <xdr:to>
      <xdr:col>7</xdr:col>
      <xdr:colOff>1231900</xdr:colOff>
      <xdr:row>25</xdr:row>
      <xdr:rowOff>177800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09FC3B2-2DD8-69D5-8F4C-57064B3BE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1384300</xdr:colOff>
      <xdr:row>10</xdr:row>
      <xdr:rowOff>25400</xdr:rowOff>
    </xdr:from>
    <xdr:to>
      <xdr:col>15</xdr:col>
      <xdr:colOff>647700</xdr:colOff>
      <xdr:row>25</xdr:row>
      <xdr:rowOff>177800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3F063BC-019D-D1BD-D1C7-C368B6731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508000</xdr:colOff>
      <xdr:row>26</xdr:row>
      <xdr:rowOff>139700</xdr:rowOff>
    </xdr:from>
    <xdr:to>
      <xdr:col>7</xdr:col>
      <xdr:colOff>1270000</xdr:colOff>
      <xdr:row>43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ACD7A99B-F71C-71A2-46F4-404ADCC57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9878</xdr:colOff>
      <xdr:row>26</xdr:row>
      <xdr:rowOff>158043</xdr:rowOff>
    </xdr:from>
    <xdr:to>
      <xdr:col>15</xdr:col>
      <xdr:colOff>649111</xdr:colOff>
      <xdr:row>43</xdr:row>
      <xdr:rowOff>-1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1802147E-06FD-6C01-0DEC-F9872F899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gan Worsfold-Gregg" refreshedDate="46296.696324884259" createdVersion="8" refreshedVersion="8" minRefreshableVersion="3" recordCount="5" xr:uid="{2DD5B217-94DF-C84C-B006-B880579BF14A}">
  <cacheSource type="worksheet">
    <worksheetSource name="region_performance"/>
  </cacheSource>
  <cacheFields count="5">
    <cacheField name="Region" numFmtId="0">
      <sharedItems count="5">
        <s v="East"/>
        <s v="Central"/>
        <s v="South"/>
        <s v="West"/>
        <s v="North"/>
      </sharedItems>
    </cacheField>
    <cacheField name="Budget" numFmtId="164">
      <sharedItems containsSemiMixedTypes="0" containsString="0" containsNumber="1" containsInteger="1" minValue="157004504" maxValue="162759606"/>
    </cacheField>
    <cacheField name="Actual" numFmtId="164">
      <sharedItems containsSemiMixedTypes="0" containsString="0" containsNumber="1" containsInteger="1" minValue="174461702" maxValue="182192493"/>
    </cacheField>
    <cacheField name="Variance Amount " numFmtId="164">
      <sharedItems containsSemiMixedTypes="0" containsString="0" containsNumber="1" containsInteger="1" minValue="16532154" maxValue="21391177"/>
    </cacheField>
    <cacheField name="Variance % " numFmtId="0">
      <sharedItems containsSemiMixedTypes="0" containsString="0" containsNumber="1" minValue="10.47" maxValue="13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gan Worsfold-Gregg" refreshedDate="46296.696571759261" createdVersion="8" refreshedVersion="8" minRefreshableVersion="3" recordCount="6" xr:uid="{E01D9F43-B4BB-1449-A77C-3027A0D6A47D}">
  <cacheSource type="worksheet">
    <worksheetSource name="category_performance"/>
  </cacheSource>
  <cacheFields count="5">
    <cacheField name="Category" numFmtId="0">
      <sharedItems count="6">
        <s v="Salaries"/>
        <s v="Utilities"/>
        <s v="Marketing"/>
        <s v="Travel"/>
        <s v="Infrastructure"/>
        <s v="Training"/>
      </sharedItems>
    </cacheField>
    <cacheField name="Budget" numFmtId="164">
      <sharedItems containsSemiMixedTypes="0" containsString="0" containsNumber="1" containsInteger="1" minValue="127131160" maxValue="140071130"/>
    </cacheField>
    <cacheField name="Actual" numFmtId="164">
      <sharedItems containsSemiMixedTypes="0" containsString="0" containsNumber="1" containsInteger="1" minValue="140825422" maxValue="155260320"/>
    </cacheField>
    <cacheField name="Variance Amount " numFmtId="164">
      <sharedItems containsSemiMixedTypes="0" containsString="0" containsNumber="1" containsInteger="1" minValue="12611453" maxValue="20613087"/>
    </cacheField>
    <cacheField name="Variance % " numFmtId="0">
      <sharedItems containsSemiMixedTypes="0" containsString="0" containsNumber="1" minValue="9.5299999999999994" maxValue="16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gan Worsfold-Gregg" refreshedDate="46296.696911342595" createdVersion="8" refreshedVersion="8" minRefreshableVersion="3" recordCount="6" xr:uid="{78F6D153-809D-9D49-967C-29D1160065CE}">
  <cacheSource type="worksheet">
    <worksheetSource name="department_performance"/>
  </cacheSource>
  <cacheFields count="5">
    <cacheField name="Department" numFmtId="0">
      <sharedItems count="6">
        <s v="Marketing"/>
        <s v="HR"/>
        <s v="Sales"/>
        <s v="Operations"/>
        <s v="IT"/>
        <s v="Finance"/>
      </sharedItems>
    </cacheField>
    <cacheField name="Budget" numFmtId="164">
      <sharedItems containsSemiMixedTypes="0" containsString="0" containsNumber="1" containsInteger="1" minValue="125771001" maxValue="137371163"/>
    </cacheField>
    <cacheField name="Actual" numFmtId="164">
      <sharedItems containsSemiMixedTypes="0" containsString="0" containsNumber="1" containsInteger="1" minValue="139663026" maxValue="155439763"/>
    </cacheField>
    <cacheField name="Variance Amount " numFmtId="164">
      <sharedItems containsSemiMixedTypes="0" containsString="0" containsNumber="1" containsInteger="1" minValue="11137380" maxValue="19876619"/>
    </cacheField>
    <cacheField name="Variance %" numFmtId="0">
      <sharedItems containsSemiMixedTypes="0" containsString="0" containsNumber="1" minValue="8.3800000000000008" maxValue="15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59685797"/>
    <n v="181076974"/>
    <n v="21391177"/>
    <n v="13.4"/>
  </r>
  <r>
    <x v="1"/>
    <n v="162759606"/>
    <n v="182192493"/>
    <n v="19432887"/>
    <n v="11.94"/>
  </r>
  <r>
    <x v="2"/>
    <n v="157991439"/>
    <n v="176760699"/>
    <n v="18769260"/>
    <n v="11.88"/>
  </r>
  <r>
    <x v="3"/>
    <n v="157004504"/>
    <n v="175505843"/>
    <n v="18501339"/>
    <n v="11.78"/>
  </r>
  <r>
    <x v="4"/>
    <n v="157929548"/>
    <n v="174461702"/>
    <n v="16532154"/>
    <n v="10.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27131160"/>
    <n v="147744247"/>
    <n v="20613087"/>
    <n v="16.21"/>
  </r>
  <r>
    <x v="1"/>
    <n v="137891618"/>
    <n v="155260320"/>
    <n v="17368702"/>
    <n v="12.6"/>
  </r>
  <r>
    <x v="2"/>
    <n v="130224132"/>
    <n v="146525696"/>
    <n v="16301564"/>
    <n v="12.52"/>
  </r>
  <r>
    <x v="3"/>
    <n v="140071130"/>
    <n v="154999674"/>
    <n v="14928544"/>
    <n v="10.66"/>
  </r>
  <r>
    <x v="4"/>
    <n v="127813870"/>
    <n v="140825422"/>
    <n v="13011552"/>
    <n v="10.18"/>
  </r>
  <r>
    <x v="5"/>
    <n v="132399473"/>
    <n v="145010926"/>
    <n v="12611453"/>
    <n v="9.529999999999999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31939479"/>
    <n v="151816098"/>
    <n v="19876619"/>
    <n v="15.07"/>
  </r>
  <r>
    <x v="1"/>
    <n v="137371163"/>
    <n v="155439763"/>
    <n v="18068600"/>
    <n v="13.15"/>
  </r>
  <r>
    <x v="2"/>
    <n v="134804760"/>
    <n v="151459340"/>
    <n v="16654580"/>
    <n v="12.35"/>
  </r>
  <r>
    <x v="3"/>
    <n v="132622213"/>
    <n v="147803987"/>
    <n v="15181774"/>
    <n v="11.45"/>
  </r>
  <r>
    <x v="4"/>
    <n v="125771001"/>
    <n v="139663026"/>
    <n v="13892025"/>
    <n v="11.05"/>
  </r>
  <r>
    <x v="5"/>
    <n v="132947149"/>
    <n v="144084529"/>
    <n v="11137380"/>
    <n v="8.3800000000000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C48B2-DAAE-F542-8D20-485F07E526C4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8" firstHeaderRow="1" firstDataRow="1" firstDataCol="1"/>
  <pivotFields count="5">
    <pivotField axis="axisRow" showAll="0">
      <items count="7">
        <item x="5"/>
        <item x="1"/>
        <item x="4"/>
        <item x="0"/>
        <item x="3"/>
        <item x="2"/>
        <item t="default"/>
      </items>
    </pivotField>
    <pivotField numFmtId="164" showAll="0"/>
    <pivotField numFmtId="164" showAll="0"/>
    <pivotField dataField="1" numFmtId="164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Variance Amount 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16E84-890F-EC40-B111-1A5DA916486D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I8" firstHeaderRow="0" firstDataRow="1" firstDataCol="1"/>
  <pivotFields count="5">
    <pivotField axis="axisRow" showAll="0">
      <items count="7">
        <item x="4"/>
        <item x="2"/>
        <item x="0"/>
        <item x="5"/>
        <item x="3"/>
        <item x="1"/>
        <item t="default"/>
      </items>
    </pivotField>
    <pivotField dataField="1" numFmtId="164" showAll="0"/>
    <pivotField dataField="1" numFmtId="164" showAll="0"/>
    <pivotField numFmtId="164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1" baseField="0" baseItem="0" numFmtId="164"/>
    <dataField name="Sum of Actual" fld="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F2CFD-48FE-F44F-9CFF-FDF64B26C6BA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7" firstHeaderRow="1" firstDataRow="1" firstDataCol="1"/>
  <pivotFields count="5">
    <pivotField axis="axisRow" showAll="0">
      <items count="6">
        <item x="1"/>
        <item x="0"/>
        <item x="4"/>
        <item x="2"/>
        <item x="3"/>
        <item t="default"/>
      </items>
    </pivotField>
    <pivotField numFmtId="164" showAll="0"/>
    <pivotField numFmtId="164" showAll="0"/>
    <pivotField dataField="1" numFmtId="164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ariance Amount 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86CB7C6-8308-9B44-8A16-56D6DE5AFDC1}" autoFormatId="16" applyNumberFormats="0" applyBorderFormats="0" applyFontFormats="0" applyPatternFormats="0" applyAlignmentFormats="0" applyWidthHeightFormats="0">
  <queryTableRefresh nextId="10">
    <queryTableFields count="6">
      <queryTableField id="1" name="year" tableColumnId="1"/>
      <queryTableField id="3" name="month_name" tableColumnId="3"/>
      <queryTableField id="4" name="budget" tableColumnId="4"/>
      <queryTableField id="5" name="actual" tableColumnId="5"/>
      <queryTableField id="6" name="variance_amount" tableColumnId="6"/>
      <queryTableField id="7" name="variance_pct" tableColumnId="7"/>
    </queryTableFields>
    <queryTableDeletedFields count="1">
      <deletedField name="month_num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4B69A8F-98B7-4E4B-ADB6-C1A1C4A55041}" autoFormatId="16" applyNumberFormats="0" applyBorderFormats="0" applyFontFormats="0" applyPatternFormats="0" applyAlignmentFormats="0" applyWidthHeightFormats="0">
  <queryTableRefresh nextId="6">
    <queryTableFields count="5">
      <queryTableField id="1" name="department" tableColumnId="1"/>
      <queryTableField id="2" name="budget" tableColumnId="2"/>
      <queryTableField id="3" name="actual" tableColumnId="3"/>
      <queryTableField id="4" name="variance_amount" tableColumnId="4"/>
      <queryTableField id="5" name="variance_pc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E6CEA3-3685-564D-832B-A070744D21D6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budget" tableColumnId="2"/>
      <queryTableField id="3" name="actual" tableColumnId="3"/>
      <queryTableField id="4" name="variance_amount" tableColumnId="4"/>
      <queryTableField id="5" name="variance_pc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092F703-8152-8343-B4B3-48721B949121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budget" tableColumnId="2"/>
      <queryTableField id="3" name="actual" tableColumnId="3"/>
      <queryTableField id="4" name="variance_amount" tableColumnId="4"/>
      <queryTableField id="5" name="variance_pc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71C9C47-482E-AF4C-9B4A-2E0CBD895C70}" autoFormatId="16" applyNumberFormats="0" applyBorderFormats="0" applyFontFormats="0" applyPatternFormats="0" applyAlignmentFormats="0" applyWidthHeightFormats="0">
  <queryTableRefresh nextId="5">
    <queryTableFields count="3">
      <queryTableField id="2" name="month_name" tableColumnId="2"/>
      <queryTableField id="3" name="budget" tableColumnId="3"/>
      <queryTableField id="4" name="actual" tableColumnId="4"/>
    </queryTableFields>
    <queryTableDeletedFields count="1">
      <deletedField name="month_nu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C0285-1E4B-774A-A514-E4D4A68EB901}" name="monthly_performance" displayName="monthly_performance" ref="A1:F37" tableType="queryTable" totalsRowShown="0" headerRowDxfId="51" dataDxfId="50">
  <autoFilter ref="A1:F37" xr:uid="{BE9C0285-1E4B-774A-A514-E4D4A68EB901}"/>
  <tableColumns count="6">
    <tableColumn id="1" xr3:uid="{56964138-B094-D947-AD82-39B093CBDA49}" uniqueName="1" name="Year" queryTableFieldId="1" dataDxfId="49"/>
    <tableColumn id="3" xr3:uid="{E4C796DF-5849-F541-8825-16283EC4009E}" uniqueName="3" name="Month" queryTableFieldId="3" dataDxfId="48"/>
    <tableColumn id="4" xr3:uid="{F4398916-5951-F04C-B65C-D3B659E40119}" uniqueName="4" name="Budget" queryTableFieldId="4" dataDxfId="47"/>
    <tableColumn id="5" xr3:uid="{E910BD9A-3366-5749-AFAC-1649D5882AFE}" uniqueName="5" name="Actual" queryTableFieldId="5" dataDxfId="46"/>
    <tableColumn id="6" xr3:uid="{46C0D152-5B71-3543-AC74-14733732C98C}" uniqueName="6" name="Variance Amount" queryTableFieldId="6" dataDxfId="45"/>
    <tableColumn id="7" xr3:uid="{7311C45E-35C8-E24F-A01F-848835E96BF7}" uniqueName="7" name="Variance %" queryTableFieldId="7" dataDxfId="4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B5891-1208-1A43-BE10-0574691895A1}" name="department_performance" displayName="department_performance" ref="A1:E7" tableType="queryTable" totalsRowShown="0" headerRowDxfId="43" dataDxfId="42">
  <autoFilter ref="A1:E7" xr:uid="{E08B5891-1208-1A43-BE10-0574691895A1}"/>
  <sortState xmlns:xlrd2="http://schemas.microsoft.com/office/spreadsheetml/2017/richdata2" ref="A2:E7">
    <sortCondition descending="1" ref="D1:D7"/>
  </sortState>
  <tableColumns count="5">
    <tableColumn id="1" xr3:uid="{88627945-11D7-DF4F-BD64-A87951EF229F}" uniqueName="1" name="Department" queryTableFieldId="1" dataDxfId="41"/>
    <tableColumn id="2" xr3:uid="{BFC77AA2-9BE1-A54D-8F56-E2D4F7414C1B}" uniqueName="2" name="Budget" queryTableFieldId="2" dataDxfId="40"/>
    <tableColumn id="3" xr3:uid="{4045FD2B-F834-FF4D-B72B-4EAB7C0FD933}" uniqueName="3" name="Actual" queryTableFieldId="3" dataDxfId="39"/>
    <tableColumn id="4" xr3:uid="{B35D88BC-0227-2941-B9FF-312A5D053E97}" uniqueName="4" name="Variance Amount " queryTableFieldId="4" dataDxfId="38"/>
    <tableColumn id="5" xr3:uid="{2CB4B78F-15A9-0F4C-A1B2-2CEED246F15C}" uniqueName="5" name="Variance %" queryTableFieldId="5" dataDxfId="37" dataCellStyle="Per c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7146D4-7D7B-9440-ADE3-301FC8D4B29E}" name="category_performance" displayName="category_performance" ref="A1:E7" tableType="queryTable" totalsRowShown="0" headerRowDxfId="36" dataDxfId="35">
  <autoFilter ref="A1:E7" xr:uid="{127146D4-7D7B-9440-ADE3-301FC8D4B29E}"/>
  <tableColumns count="5">
    <tableColumn id="1" xr3:uid="{E5B202C9-2C5E-6646-B97D-D7073EFF14F9}" uniqueName="1" name="Category" queryTableFieldId="1" dataDxfId="34"/>
    <tableColumn id="2" xr3:uid="{4D900A38-DFCF-E44E-B0DE-B741DA89717A}" uniqueName="2" name="Budget" queryTableFieldId="2" dataDxfId="33"/>
    <tableColumn id="3" xr3:uid="{39315C08-A917-954F-A841-C70CE7627F4D}" uniqueName="3" name="Actual" queryTableFieldId="3" dataDxfId="32"/>
    <tableColumn id="4" xr3:uid="{4E1A162F-0910-7140-A41C-1C9606F23709}" uniqueName="4" name="Variance Amount " queryTableFieldId="4" dataDxfId="31"/>
    <tableColumn id="5" xr3:uid="{98789E19-52D3-0447-8C47-EA333C8B6232}" uniqueName="5" name="Variance % " queryTableFieldId="5" dataDxfId="30" dataCellStyle="Per c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C5C1C7-355E-2A42-939F-69034A501410}" name="region_performance" displayName="region_performance" ref="A1:E6" tableType="queryTable" totalsRowShown="0" headerRowDxfId="29" dataDxfId="28">
  <autoFilter ref="A1:E6" xr:uid="{5CC5C1C7-355E-2A42-939F-69034A501410}"/>
  <tableColumns count="5">
    <tableColumn id="1" xr3:uid="{5C7E249C-8B9E-8142-A5EB-95C443BF0675}" uniqueName="1" name="Region" queryTableFieldId="1" dataDxfId="27"/>
    <tableColumn id="2" xr3:uid="{7B0785B2-EA1E-CA4B-932D-6B04B44198E0}" uniqueName="2" name="Budget" queryTableFieldId="2" dataDxfId="26"/>
    <tableColumn id="3" xr3:uid="{5905296A-6390-6C4C-93EB-0DE26A07F4F2}" uniqueName="3" name="Actual" queryTableFieldId="3" dataDxfId="25"/>
    <tableColumn id="4" xr3:uid="{CE995EBB-ACE3-454C-A9D1-C2A179D2EC96}" uniqueName="4" name="Variance Amount " queryTableFieldId="4" dataDxfId="24"/>
    <tableColumn id="5" xr3:uid="{D0ADA69E-01D0-0045-8D22-55C36C3D8647}" uniqueName="5" name="Variance % " queryTableFieldId="5" dataDxfId="23" dataCellStyle="Per c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E27164-A361-7A4C-9FD4-A20060016DD5}" name="forecast_2023_input" displayName="forecast_2023_input" ref="A1:C13" tableType="queryTable" totalsRowShown="0" headerRowDxfId="58" dataDxfId="57">
  <autoFilter ref="A1:C13" xr:uid="{30E27164-A361-7A4C-9FD4-A20060016DD5}"/>
  <tableColumns count="3">
    <tableColumn id="2" xr3:uid="{0EDD5278-BA0F-994D-BAF9-4E34F30D3173}" uniqueName="2" name="Month" queryTableFieldId="2" dataDxfId="56"/>
    <tableColumn id="3" xr3:uid="{F2113F9E-133E-454E-9C97-593FEFA95980}" uniqueName="3" name="Budget " queryTableFieldId="3" dataDxfId="55"/>
    <tableColumn id="4" xr3:uid="{45CAFBDF-6606-E347-AF5B-D4B1E0B5A8C9}" uniqueName="4" name="Actual" queryTableFieldId="4" dataDxfId="5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1DB6F0-40E1-094C-93FC-0CAAC7E92270}" name="Table6" displayName="Table6" ref="A15:F28" totalsRowCount="1" headerRowDxfId="53" dataDxfId="52" totalsRowCellStyle="Accent1">
  <autoFilter ref="A15:F27" xr:uid="{4A1DB6F0-40E1-094C-93FC-0CAAC7E92270}"/>
  <tableColumns count="6">
    <tableColumn id="1" xr3:uid="{B0797CE5-4C20-6444-8545-C8F3EE638247}" name="Month " totalsRowLabel="Total" dataDxfId="11" totalsRowDxfId="10" totalsRowCellStyle="Accent1"/>
    <tableColumn id="2" xr3:uid="{1785370C-3361-4047-B934-F808CB2394C5}" name="Budget " totalsRowFunction="custom" dataDxfId="9" totalsRowDxfId="8" totalsRowCellStyle="Accent1">
      <totalsRowFormula>SUM(B16:B27)</totalsRowFormula>
    </tableColumn>
    <tableColumn id="3" xr3:uid="{BE025C48-8CCF-8544-A2AF-4B5FA498B302}" name="Actual" totalsRowFunction="custom" dataDxfId="7" totalsRowDxfId="6" totalsRowCellStyle="Accent1">
      <totalsRowFormula>SUM(Table6[Actual])</totalsRowFormula>
    </tableColumn>
    <tableColumn id="4" xr3:uid="{0E8FD07B-3571-6547-AA99-61E10A70C983}" name="Actual Used " dataDxfId="5" totalsRowDxfId="4" totalsRowCellStyle="Accent1"/>
    <tableColumn id="5" xr3:uid="{AE336683-13B2-A04C-A9B5-D1EC91B3A022}" name="Forecast" totalsRowFunction="custom" dataDxfId="3" totalsRowDxfId="2" totalsRowCellStyle="Accent1">
      <totalsRowFormula>SUM(Table6[Forecast])</totalsRowFormula>
    </tableColumn>
    <tableColumn id="6" xr3:uid="{10DC9FFC-635C-CC4A-A32C-132A5D8C7330}" name="Variance to Budget" totalsRowFunction="sum" dataDxfId="1" totalsRowDxfId="0" totalsRowCellStyle="Accent1">
      <calculatedColumnFormula>E16-B16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3357E6-3D7A-CE46-ACD3-5C75D6265830}" name="Table8" displayName="Table8" ref="A3:G6" totalsRowShown="0" headerRowDxfId="22" dataDxfId="21">
  <autoFilter ref="A3:G6" xr:uid="{B43357E6-3D7A-CE46-ACD3-5C75D6265830}"/>
  <tableColumns count="7">
    <tableColumn id="1" xr3:uid="{1277F6AD-FD4D-BD4B-8836-18450EA40B98}" name="Scenario " dataDxfId="20"/>
    <tableColumn id="2" xr3:uid="{4EAE1B46-C78A-4947-9578-1CB68DE069D5}" name="Q4 Adjustment "/>
    <tableColumn id="3" xr3:uid="{A5214C93-DB52-2744-A7B1-E90934C1F94D}" name="Q4 Forecast " dataDxfId="19"/>
    <tableColumn id="4" xr3:uid="{6D7B6210-0281-964D-AD96-440C145AE7D2}" name="Jan-Sept Actual " dataDxfId="18"/>
    <tableColumn id="5" xr3:uid="{A73963A0-44B9-6544-A6FD-C74BD2D65646}" name="Full-Year Forecast " dataDxfId="17">
      <calculatedColumnFormula>D4+C4</calculatedColumnFormula>
    </tableColumn>
    <tableColumn id="6" xr3:uid="{2DD75A40-B262-EE46-A8EF-D6C1EE1723D9}" name="Variance to Budget " dataDxfId="16">
      <calculatedColumnFormula>E4-Table6[[#Totals],[Budget ]]</calculatedColumnFormula>
    </tableColumn>
    <tableColumn id="7" xr3:uid="{28379CAD-8510-A24E-BE75-41E003771692}" name="Variance % " dataDxfId="15" dataCellStyle="Per cent">
      <calculatedColumnFormula>F4/Table6[[#Totals],[Budget 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56762E-E5A7-5D4E-90E2-56EAA82BC54F}" name="Table9" displayName="Table9" ref="A8:B12" totalsRowShown="0" headerRowDxfId="14">
  <autoFilter ref="A8:B12" xr:uid="{AB56762E-E5A7-5D4E-90E2-56EAA82BC54F}"/>
  <tableColumns count="2">
    <tableColumn id="1" xr3:uid="{D8B9155D-89D8-3548-B752-F09A5C92B3EC}" name="Scenario " dataDxfId="13"/>
    <tableColumn id="2" xr3:uid="{72A51328-9383-A144-9C3B-B172A8D5B9B0}" name="Full Year Spend" dataDxfId="12">
      <calculatedColumnFormula>E3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A3CF-91D6-4D40-B886-61C8EB7FAFBA}">
  <dimension ref="A1:U93"/>
  <sheetViews>
    <sheetView workbookViewId="0">
      <selection activeCell="F73" sqref="F73"/>
    </sheetView>
  </sheetViews>
  <sheetFormatPr baseColWidth="10" defaultRowHeight="16" x14ac:dyDescent="0.2"/>
  <cols>
    <col min="1" max="2" width="13" style="1" bestFit="1" customWidth="1"/>
    <col min="3" max="3" width="12.5" style="2" bestFit="1" customWidth="1"/>
    <col min="4" max="4" width="20.83203125" style="2" customWidth="1"/>
    <col min="5" max="5" width="26" style="2" customWidth="1"/>
    <col min="6" max="6" width="18.83203125" style="3" customWidth="1"/>
    <col min="7" max="7" width="10.83203125" style="1"/>
    <col min="8" max="8" width="15.5" style="1" bestFit="1" customWidth="1"/>
    <col min="9" max="9" width="12.83203125" style="1" bestFit="1" customWidth="1"/>
    <col min="10" max="10" width="12.33203125" style="1" bestFit="1" customWidth="1"/>
    <col min="11" max="20" width="11.1640625" style="1" bestFit="1" customWidth="1"/>
    <col min="21" max="21" width="12.1640625" style="1" bestFit="1" customWidth="1"/>
    <col min="22" max="16384" width="10.83203125" style="1"/>
  </cols>
  <sheetData>
    <row r="1" spans="1:21" x14ac:dyDescent="0.2">
      <c r="A1" s="1" t="s">
        <v>30</v>
      </c>
      <c r="B1" s="1" t="s">
        <v>31</v>
      </c>
      <c r="C1" s="2" t="s">
        <v>32</v>
      </c>
      <c r="D1" s="2" t="s">
        <v>33</v>
      </c>
      <c r="E1" s="2" t="s">
        <v>34</v>
      </c>
      <c r="F1" s="3" t="s">
        <v>35</v>
      </c>
    </row>
    <row r="2" spans="1:21" x14ac:dyDescent="0.2">
      <c r="A2" s="4">
        <v>2021</v>
      </c>
      <c r="B2" s="1" t="s">
        <v>0</v>
      </c>
      <c r="C2" s="2">
        <v>21587408</v>
      </c>
      <c r="D2" s="2">
        <v>24913213</v>
      </c>
      <c r="E2" s="2">
        <v>3325805</v>
      </c>
      <c r="F2" s="3">
        <v>0.15410000000000001</v>
      </c>
    </row>
    <row r="3" spans="1:21" x14ac:dyDescent="0.2">
      <c r="B3" s="1" t="s">
        <v>1</v>
      </c>
      <c r="C3" s="2">
        <v>18142623</v>
      </c>
      <c r="D3" s="2">
        <v>20632263</v>
      </c>
      <c r="E3" s="2">
        <v>2489640</v>
      </c>
      <c r="F3" s="3">
        <v>0.13720000000000002</v>
      </c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spans="1:21" x14ac:dyDescent="0.2">
      <c r="B4" s="1" t="s">
        <v>2</v>
      </c>
      <c r="C4" s="2">
        <v>19747700</v>
      </c>
      <c r="D4" s="2">
        <v>24295909</v>
      </c>
      <c r="E4" s="2">
        <v>4548209</v>
      </c>
      <c r="F4" s="3">
        <v>0.2303</v>
      </c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1:21" x14ac:dyDescent="0.2">
      <c r="B5" s="1" t="s">
        <v>3</v>
      </c>
      <c r="C5" s="2">
        <v>19710246</v>
      </c>
      <c r="D5" s="2">
        <v>24364104</v>
      </c>
      <c r="E5" s="2">
        <v>4653858</v>
      </c>
      <c r="F5" s="3">
        <v>0.2361</v>
      </c>
      <c r="H5"/>
      <c r="I5"/>
      <c r="J5"/>
      <c r="K5"/>
      <c r="L5"/>
      <c r="M5"/>
      <c r="N5"/>
      <c r="O5"/>
      <c r="P5"/>
      <c r="Q5"/>
      <c r="R5"/>
      <c r="S5"/>
      <c r="T5"/>
      <c r="U5"/>
    </row>
    <row r="6" spans="1:21" x14ac:dyDescent="0.2">
      <c r="B6" s="1" t="s">
        <v>4</v>
      </c>
      <c r="C6" s="2">
        <v>24597175</v>
      </c>
      <c r="D6" s="2">
        <v>27250381</v>
      </c>
      <c r="E6" s="2">
        <v>2653206</v>
      </c>
      <c r="F6" s="3">
        <v>0.1079</v>
      </c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spans="1:21" x14ac:dyDescent="0.2">
      <c r="B7" s="1" t="s">
        <v>5</v>
      </c>
      <c r="C7" s="2">
        <v>22265011</v>
      </c>
      <c r="D7" s="2">
        <v>22396228</v>
      </c>
      <c r="E7" s="2">
        <v>131217</v>
      </c>
      <c r="F7" s="3">
        <v>5.8999999999999999E-3</v>
      </c>
      <c r="H7"/>
      <c r="I7"/>
      <c r="J7"/>
    </row>
    <row r="8" spans="1:21" x14ac:dyDescent="0.2">
      <c r="B8" s="1" t="s">
        <v>6</v>
      </c>
      <c r="C8" s="2">
        <v>21471995</v>
      </c>
      <c r="D8" s="2">
        <v>24685975</v>
      </c>
      <c r="E8" s="2">
        <v>3213980</v>
      </c>
      <c r="F8" s="3">
        <v>0.1497</v>
      </c>
      <c r="H8"/>
      <c r="I8"/>
      <c r="J8"/>
    </row>
    <row r="9" spans="1:21" x14ac:dyDescent="0.2">
      <c r="B9" s="1" t="s">
        <v>7</v>
      </c>
      <c r="C9" s="2">
        <v>23607929</v>
      </c>
      <c r="D9" s="2">
        <v>25003789</v>
      </c>
      <c r="E9" s="2">
        <v>1395860</v>
      </c>
      <c r="F9" s="3">
        <v>5.91E-2</v>
      </c>
      <c r="H9"/>
      <c r="I9"/>
      <c r="J9"/>
    </row>
    <row r="10" spans="1:21" x14ac:dyDescent="0.2">
      <c r="B10" s="1" t="s">
        <v>8</v>
      </c>
      <c r="C10" s="2">
        <v>22494061</v>
      </c>
      <c r="D10" s="2">
        <v>25829986</v>
      </c>
      <c r="E10" s="2">
        <v>3335925</v>
      </c>
      <c r="F10" s="3">
        <v>0.14829999999999999</v>
      </c>
      <c r="H10"/>
      <c r="I10"/>
      <c r="J10"/>
    </row>
    <row r="11" spans="1:21" x14ac:dyDescent="0.2">
      <c r="B11" s="1" t="s">
        <v>9</v>
      </c>
      <c r="C11" s="2">
        <v>19594167</v>
      </c>
      <c r="D11" s="2">
        <v>22180032</v>
      </c>
      <c r="E11" s="2">
        <v>2585865</v>
      </c>
      <c r="F11" s="3">
        <v>0.13200000000000001</v>
      </c>
      <c r="H11"/>
      <c r="I11"/>
      <c r="J11"/>
    </row>
    <row r="12" spans="1:21" x14ac:dyDescent="0.2">
      <c r="B12" s="1" t="s">
        <v>10</v>
      </c>
      <c r="C12" s="2">
        <v>21683155</v>
      </c>
      <c r="D12" s="2">
        <v>22968470</v>
      </c>
      <c r="E12" s="2">
        <v>1285315</v>
      </c>
      <c r="F12" s="3">
        <v>5.9299999999999999E-2</v>
      </c>
      <c r="H12"/>
      <c r="I12"/>
      <c r="J12"/>
    </row>
    <row r="13" spans="1:21" x14ac:dyDescent="0.2">
      <c r="B13" s="1" t="s">
        <v>11</v>
      </c>
      <c r="C13" s="2">
        <v>21779550</v>
      </c>
      <c r="D13" s="2">
        <v>22990736</v>
      </c>
      <c r="E13" s="2">
        <v>1211186</v>
      </c>
      <c r="F13" s="3">
        <v>5.5599999999999997E-2</v>
      </c>
      <c r="H13"/>
      <c r="I13"/>
      <c r="J13"/>
    </row>
    <row r="14" spans="1:21" x14ac:dyDescent="0.2">
      <c r="A14" s="4">
        <v>2022</v>
      </c>
      <c r="B14" s="1" t="s">
        <v>0</v>
      </c>
      <c r="C14" s="2">
        <v>23546292</v>
      </c>
      <c r="D14" s="2">
        <v>26727517</v>
      </c>
      <c r="E14" s="2">
        <v>3181225</v>
      </c>
      <c r="F14" s="3">
        <v>0.1351</v>
      </c>
      <c r="H14"/>
      <c r="I14"/>
      <c r="J14"/>
    </row>
    <row r="15" spans="1:21" x14ac:dyDescent="0.2">
      <c r="B15" s="1" t="s">
        <v>1</v>
      </c>
      <c r="C15" s="2">
        <v>19296156</v>
      </c>
      <c r="D15" s="2">
        <v>21186138</v>
      </c>
      <c r="E15" s="2">
        <v>1889982</v>
      </c>
      <c r="F15" s="3">
        <v>9.7899999999999987E-2</v>
      </c>
      <c r="H15"/>
      <c r="I15"/>
      <c r="J15"/>
    </row>
    <row r="16" spans="1:21" x14ac:dyDescent="0.2">
      <c r="B16" s="1" t="s">
        <v>2</v>
      </c>
      <c r="C16" s="2">
        <v>20905031</v>
      </c>
      <c r="D16" s="2">
        <v>24891811</v>
      </c>
      <c r="E16" s="2">
        <v>3986780</v>
      </c>
      <c r="F16" s="3">
        <v>0.19070000000000001</v>
      </c>
      <c r="H16"/>
      <c r="I16"/>
      <c r="J16"/>
    </row>
    <row r="17" spans="1:6" x14ac:dyDescent="0.2">
      <c r="B17" s="1" t="s">
        <v>3</v>
      </c>
      <c r="C17" s="2">
        <v>20561645</v>
      </c>
      <c r="D17" s="2">
        <v>24055215</v>
      </c>
      <c r="E17" s="2">
        <v>3493570</v>
      </c>
      <c r="F17" s="3">
        <v>0.1699</v>
      </c>
    </row>
    <row r="18" spans="1:6" x14ac:dyDescent="0.2">
      <c r="B18" s="1" t="s">
        <v>4</v>
      </c>
      <c r="C18" s="2">
        <v>22751826</v>
      </c>
      <c r="D18" s="2">
        <v>26605506</v>
      </c>
      <c r="E18" s="2">
        <v>3853680</v>
      </c>
      <c r="F18" s="3">
        <v>0.16940000000000002</v>
      </c>
    </row>
    <row r="19" spans="1:6" x14ac:dyDescent="0.2">
      <c r="B19" s="1" t="s">
        <v>5</v>
      </c>
      <c r="C19" s="2">
        <v>22687896</v>
      </c>
      <c r="D19" s="2">
        <v>24875581</v>
      </c>
      <c r="E19" s="2">
        <v>2187685</v>
      </c>
      <c r="F19" s="3">
        <v>9.64E-2</v>
      </c>
    </row>
    <row r="20" spans="1:6" x14ac:dyDescent="0.2">
      <c r="B20" s="1" t="s">
        <v>6</v>
      </c>
      <c r="C20" s="2">
        <v>23703274</v>
      </c>
      <c r="D20" s="2">
        <v>26115690</v>
      </c>
      <c r="E20" s="2">
        <v>2412416</v>
      </c>
      <c r="F20" s="3">
        <v>0.1018</v>
      </c>
    </row>
    <row r="21" spans="1:6" x14ac:dyDescent="0.2">
      <c r="B21" s="1" t="s">
        <v>7</v>
      </c>
      <c r="C21" s="2">
        <v>22779028</v>
      </c>
      <c r="D21" s="2">
        <v>26201877</v>
      </c>
      <c r="E21" s="2">
        <v>3422849</v>
      </c>
      <c r="F21" s="3">
        <v>0.15029999999999999</v>
      </c>
    </row>
    <row r="22" spans="1:6" x14ac:dyDescent="0.2">
      <c r="B22" s="1" t="s">
        <v>8</v>
      </c>
      <c r="C22" s="2">
        <v>21101758</v>
      </c>
      <c r="D22" s="2">
        <v>23615228</v>
      </c>
      <c r="E22" s="2">
        <v>2513470</v>
      </c>
      <c r="F22" s="3">
        <v>0.1191</v>
      </c>
    </row>
    <row r="23" spans="1:6" x14ac:dyDescent="0.2">
      <c r="B23" s="1" t="s">
        <v>9</v>
      </c>
      <c r="C23" s="2">
        <v>24781493</v>
      </c>
      <c r="D23" s="2">
        <v>26499256</v>
      </c>
      <c r="E23" s="2">
        <v>1717763</v>
      </c>
      <c r="F23" s="3">
        <v>6.93E-2</v>
      </c>
    </row>
    <row r="24" spans="1:6" x14ac:dyDescent="0.2">
      <c r="B24" s="1" t="s">
        <v>10</v>
      </c>
      <c r="C24" s="2">
        <v>21084652</v>
      </c>
      <c r="D24" s="2">
        <v>23619293</v>
      </c>
      <c r="E24" s="2">
        <v>2534641</v>
      </c>
      <c r="F24" s="3">
        <v>0.1202</v>
      </c>
    </row>
    <row r="25" spans="1:6" x14ac:dyDescent="0.2">
      <c r="B25" s="1" t="s">
        <v>11</v>
      </c>
      <c r="C25" s="2">
        <v>23235485</v>
      </c>
      <c r="D25" s="2">
        <v>28476038</v>
      </c>
      <c r="E25" s="2">
        <v>5240553</v>
      </c>
      <c r="F25" s="3">
        <v>0.22550000000000001</v>
      </c>
    </row>
    <row r="26" spans="1:6" x14ac:dyDescent="0.2">
      <c r="A26" s="4">
        <v>2023</v>
      </c>
      <c r="B26" s="1" t="s">
        <v>0</v>
      </c>
      <c r="C26" s="2">
        <v>22135628</v>
      </c>
      <c r="D26" s="2">
        <v>22670612</v>
      </c>
      <c r="E26" s="2">
        <v>534984</v>
      </c>
      <c r="F26" s="3">
        <v>2.4199999999999999E-2</v>
      </c>
    </row>
    <row r="27" spans="1:6" x14ac:dyDescent="0.2">
      <c r="B27" s="1" t="s">
        <v>1</v>
      </c>
      <c r="C27" s="2">
        <v>19393433</v>
      </c>
      <c r="D27" s="2">
        <v>22714535</v>
      </c>
      <c r="E27" s="2">
        <v>3321102</v>
      </c>
      <c r="F27" s="3">
        <v>0.17120000000000002</v>
      </c>
    </row>
    <row r="28" spans="1:6" x14ac:dyDescent="0.2">
      <c r="B28" s="1" t="s">
        <v>2</v>
      </c>
      <c r="C28" s="2">
        <v>23064909</v>
      </c>
      <c r="D28" s="2">
        <v>24144517</v>
      </c>
      <c r="E28" s="2">
        <v>1079608</v>
      </c>
      <c r="F28" s="3">
        <v>4.6799999999999994E-2</v>
      </c>
    </row>
    <row r="29" spans="1:6" x14ac:dyDescent="0.2">
      <c r="B29" s="1" t="s">
        <v>3</v>
      </c>
      <c r="C29" s="2">
        <v>26078247</v>
      </c>
      <c r="D29" s="2">
        <v>29230433</v>
      </c>
      <c r="E29" s="2">
        <v>3152186</v>
      </c>
      <c r="F29" s="3">
        <v>0.12089999999999999</v>
      </c>
    </row>
    <row r="30" spans="1:6" x14ac:dyDescent="0.2">
      <c r="B30" s="1" t="s">
        <v>4</v>
      </c>
      <c r="C30" s="2">
        <v>23256181</v>
      </c>
      <c r="D30" s="2">
        <v>24725549</v>
      </c>
      <c r="E30" s="2">
        <v>1469368</v>
      </c>
      <c r="F30" s="3">
        <v>6.3200000000000006E-2</v>
      </c>
    </row>
    <row r="31" spans="1:6" x14ac:dyDescent="0.2">
      <c r="B31" s="1" t="s">
        <v>5</v>
      </c>
      <c r="C31" s="2">
        <v>22281988</v>
      </c>
      <c r="D31" s="2">
        <v>23994290</v>
      </c>
      <c r="E31" s="2">
        <v>1712302</v>
      </c>
      <c r="F31" s="3">
        <v>7.6799999999999993E-2</v>
      </c>
    </row>
    <row r="32" spans="1:6" x14ac:dyDescent="0.2">
      <c r="B32" s="1" t="s">
        <v>6</v>
      </c>
      <c r="C32" s="2">
        <v>24964894</v>
      </c>
      <c r="D32" s="2">
        <v>28433347</v>
      </c>
      <c r="E32" s="2">
        <v>3468453</v>
      </c>
      <c r="F32" s="3">
        <v>0.1389</v>
      </c>
    </row>
    <row r="33" spans="2:9" x14ac:dyDescent="0.2">
      <c r="B33" s="1" t="s">
        <v>7</v>
      </c>
      <c r="C33" s="2">
        <v>22068703</v>
      </c>
      <c r="D33" s="2">
        <v>25209565</v>
      </c>
      <c r="E33" s="2">
        <v>3140862</v>
      </c>
      <c r="F33" s="3">
        <v>0.14230000000000001</v>
      </c>
    </row>
    <row r="34" spans="2:9" x14ac:dyDescent="0.2">
      <c r="B34" s="1" t="s">
        <v>8</v>
      </c>
      <c r="C34" s="2">
        <v>23636341</v>
      </c>
      <c r="D34" s="2">
        <v>25829660</v>
      </c>
      <c r="E34" s="2">
        <v>2193319</v>
      </c>
      <c r="F34" s="3">
        <v>9.2799999999999994E-2</v>
      </c>
    </row>
    <row r="35" spans="2:9" x14ac:dyDescent="0.2">
      <c r="B35" s="1" t="s">
        <v>9</v>
      </c>
      <c r="C35" s="2">
        <v>21324454</v>
      </c>
      <c r="D35" s="2">
        <v>24008371</v>
      </c>
      <c r="E35" s="2">
        <v>2683917</v>
      </c>
      <c r="F35" s="3">
        <v>0.12590000000000001</v>
      </c>
    </row>
    <row r="36" spans="2:9" x14ac:dyDescent="0.2">
      <c r="B36" s="1" t="s">
        <v>10</v>
      </c>
      <c r="C36" s="2">
        <v>21286372</v>
      </c>
      <c r="D36" s="2">
        <v>22933724</v>
      </c>
      <c r="E36" s="2">
        <v>1647352</v>
      </c>
      <c r="F36" s="3">
        <v>7.7399999999999997E-2</v>
      </c>
    </row>
    <row r="37" spans="2:9" x14ac:dyDescent="0.2">
      <c r="B37" s="1" t="s">
        <v>11</v>
      </c>
      <c r="C37" s="2">
        <v>22964822</v>
      </c>
      <c r="D37" s="2">
        <v>26106531</v>
      </c>
      <c r="E37" s="2">
        <v>3141709</v>
      </c>
      <c r="F37" s="3">
        <v>0.1368</v>
      </c>
    </row>
    <row r="44" spans="2:9" x14ac:dyDescent="0.2">
      <c r="G44"/>
      <c r="H44"/>
      <c r="I44"/>
    </row>
    <row r="45" spans="2:9" x14ac:dyDescent="0.2">
      <c r="G45"/>
      <c r="H45"/>
      <c r="I45"/>
    </row>
    <row r="46" spans="2:9" x14ac:dyDescent="0.2">
      <c r="G46"/>
      <c r="H46"/>
      <c r="I46"/>
    </row>
    <row r="47" spans="2:9" x14ac:dyDescent="0.2">
      <c r="G47"/>
      <c r="H47"/>
      <c r="I47"/>
    </row>
    <row r="48" spans="2:9" x14ac:dyDescent="0.2">
      <c r="G48"/>
      <c r="H48"/>
      <c r="I48"/>
    </row>
    <row r="49" spans="1:9" x14ac:dyDescent="0.2">
      <c r="G49"/>
      <c r="H49"/>
      <c r="I49"/>
    </row>
    <row r="50" spans="1:9" x14ac:dyDescent="0.2">
      <c r="G50"/>
      <c r="H50"/>
      <c r="I50"/>
    </row>
    <row r="51" spans="1:9" x14ac:dyDescent="0.2">
      <c r="G51"/>
      <c r="H51"/>
      <c r="I51"/>
    </row>
    <row r="52" spans="1:9" x14ac:dyDescent="0.2">
      <c r="G52"/>
      <c r="H52"/>
      <c r="I52"/>
    </row>
    <row r="53" spans="1:9" x14ac:dyDescent="0.2">
      <c r="G53"/>
      <c r="H53"/>
      <c r="I53"/>
    </row>
    <row r="54" spans="1:9" x14ac:dyDescent="0.2">
      <c r="G54"/>
      <c r="H54"/>
      <c r="I54"/>
    </row>
    <row r="55" spans="1:9" x14ac:dyDescent="0.2">
      <c r="G55"/>
      <c r="H55"/>
      <c r="I55"/>
    </row>
    <row r="56" spans="1:9" x14ac:dyDescent="0.2">
      <c r="G56"/>
      <c r="H56"/>
      <c r="I56"/>
    </row>
    <row r="57" spans="1:9" x14ac:dyDescent="0.2">
      <c r="G57"/>
      <c r="H57"/>
      <c r="I57"/>
    </row>
    <row r="58" spans="1:9" x14ac:dyDescent="0.2">
      <c r="G58"/>
      <c r="H58"/>
      <c r="I58"/>
    </row>
    <row r="59" spans="1:9" x14ac:dyDescent="0.2">
      <c r="G59"/>
      <c r="H59"/>
      <c r="I59"/>
    </row>
    <row r="60" spans="1:9" x14ac:dyDescent="0.2">
      <c r="G60"/>
      <c r="H60"/>
      <c r="I60"/>
    </row>
    <row r="61" spans="1:9" x14ac:dyDescent="0.2">
      <c r="G61"/>
      <c r="H61"/>
      <c r="I61"/>
    </row>
    <row r="64" spans="1:9" x14ac:dyDescent="0.2">
      <c r="A64"/>
      <c r="B64"/>
    </row>
    <row r="66" spans="1:3" x14ac:dyDescent="0.2">
      <c r="A66"/>
      <c r="B66"/>
      <c r="C66"/>
    </row>
    <row r="67" spans="1:3" x14ac:dyDescent="0.2">
      <c r="A67"/>
      <c r="B67"/>
      <c r="C67"/>
    </row>
    <row r="68" spans="1:3" x14ac:dyDescent="0.2">
      <c r="A68"/>
      <c r="B68"/>
      <c r="C68"/>
    </row>
    <row r="69" spans="1:3" x14ac:dyDescent="0.2">
      <c r="A69"/>
      <c r="B69"/>
      <c r="C69"/>
    </row>
    <row r="70" spans="1:3" x14ac:dyDescent="0.2">
      <c r="A70"/>
      <c r="B70"/>
      <c r="C70"/>
    </row>
    <row r="71" spans="1:3" x14ac:dyDescent="0.2">
      <c r="A71"/>
      <c r="B71"/>
      <c r="C71"/>
    </row>
    <row r="72" spans="1:3" x14ac:dyDescent="0.2">
      <c r="A72"/>
      <c r="B72"/>
      <c r="C72"/>
    </row>
    <row r="73" spans="1:3" x14ac:dyDescent="0.2">
      <c r="A73"/>
      <c r="B73"/>
      <c r="C73"/>
    </row>
    <row r="74" spans="1:3" x14ac:dyDescent="0.2">
      <c r="A74"/>
      <c r="B74"/>
      <c r="C74"/>
    </row>
    <row r="75" spans="1:3" x14ac:dyDescent="0.2">
      <c r="A75"/>
      <c r="B75"/>
      <c r="C75"/>
    </row>
    <row r="76" spans="1:3" x14ac:dyDescent="0.2">
      <c r="A76"/>
      <c r="B76"/>
      <c r="C76"/>
    </row>
    <row r="77" spans="1:3" x14ac:dyDescent="0.2">
      <c r="A77"/>
      <c r="B77"/>
      <c r="C77"/>
    </row>
    <row r="78" spans="1:3" x14ac:dyDescent="0.2">
      <c r="A78"/>
      <c r="B78"/>
      <c r="C78"/>
    </row>
    <row r="79" spans="1:3" x14ac:dyDescent="0.2">
      <c r="A79"/>
      <c r="B79"/>
      <c r="C79"/>
    </row>
    <row r="80" spans="1:3" x14ac:dyDescent="0.2">
      <c r="A80"/>
      <c r="B80"/>
      <c r="C80"/>
    </row>
    <row r="81" spans="1:3" x14ac:dyDescent="0.2">
      <c r="A81"/>
      <c r="B81"/>
      <c r="C81"/>
    </row>
    <row r="82" spans="1:3" x14ac:dyDescent="0.2">
      <c r="A82"/>
      <c r="B82"/>
      <c r="C82"/>
    </row>
    <row r="83" spans="1:3" x14ac:dyDescent="0.2">
      <c r="A83"/>
      <c r="B83"/>
      <c r="C83"/>
    </row>
    <row r="84" spans="1:3" x14ac:dyDescent="0.2">
      <c r="A84"/>
      <c r="B84"/>
      <c r="C84"/>
    </row>
    <row r="85" spans="1:3" x14ac:dyDescent="0.2">
      <c r="A85"/>
      <c r="B85"/>
      <c r="C85"/>
    </row>
    <row r="86" spans="1:3" x14ac:dyDescent="0.2">
      <c r="A86"/>
      <c r="B86"/>
      <c r="C86"/>
    </row>
    <row r="87" spans="1:3" x14ac:dyDescent="0.2">
      <c r="A87"/>
      <c r="B87"/>
      <c r="C87"/>
    </row>
    <row r="88" spans="1:3" x14ac:dyDescent="0.2">
      <c r="A88"/>
      <c r="B88"/>
      <c r="C88"/>
    </row>
    <row r="89" spans="1:3" x14ac:dyDescent="0.2">
      <c r="A89"/>
      <c r="B89"/>
      <c r="C89"/>
    </row>
    <row r="90" spans="1:3" x14ac:dyDescent="0.2">
      <c r="A90"/>
      <c r="B90"/>
      <c r="C90"/>
    </row>
    <row r="91" spans="1:3" x14ac:dyDescent="0.2">
      <c r="A91"/>
      <c r="B91"/>
      <c r="C91"/>
    </row>
    <row r="92" spans="1:3" x14ac:dyDescent="0.2">
      <c r="A92"/>
      <c r="B92"/>
      <c r="C92"/>
    </row>
    <row r="93" spans="1:3" x14ac:dyDescent="0.2">
      <c r="A93"/>
      <c r="B93"/>
      <c r="C9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FD42-A29F-0A42-8D89-869A9C06DA31}">
  <dimension ref="A1:I18"/>
  <sheetViews>
    <sheetView workbookViewId="0">
      <selection activeCell="D1" activeCellId="1" sqref="A1:A7 D1:D7"/>
    </sheetView>
  </sheetViews>
  <sheetFormatPr baseColWidth="10" defaultRowHeight="16" x14ac:dyDescent="0.2"/>
  <cols>
    <col min="1" max="1" width="23.5" style="1" customWidth="1"/>
    <col min="2" max="3" width="21.33203125" style="2" customWidth="1"/>
    <col min="4" max="4" width="24.1640625" style="2" customWidth="1"/>
    <col min="5" max="5" width="24.1640625" style="13" customWidth="1"/>
    <col min="6" max="6" width="10.83203125" style="1"/>
    <col min="7" max="7" width="13" style="1" bestFit="1" customWidth="1"/>
    <col min="8" max="8" width="22" style="1" bestFit="1" customWidth="1"/>
    <col min="9" max="16384" width="10.83203125" style="1"/>
  </cols>
  <sheetData>
    <row r="1" spans="1:9" x14ac:dyDescent="0.2">
      <c r="A1" s="1" t="s">
        <v>36</v>
      </c>
      <c r="B1" s="2" t="s">
        <v>32</v>
      </c>
      <c r="C1" s="2" t="s">
        <v>33</v>
      </c>
      <c r="D1" s="2" t="s">
        <v>37</v>
      </c>
      <c r="E1" s="13" t="s">
        <v>35</v>
      </c>
      <c r="G1" s="5" t="s">
        <v>28</v>
      </c>
      <c r="H1" t="s">
        <v>41</v>
      </c>
      <c r="I1"/>
    </row>
    <row r="2" spans="1:9" x14ac:dyDescent="0.2">
      <c r="A2" s="1" t="s">
        <v>12</v>
      </c>
      <c r="B2" s="2">
        <v>131939479</v>
      </c>
      <c r="C2" s="2">
        <v>151816098</v>
      </c>
      <c r="D2" s="2">
        <v>19876619</v>
      </c>
      <c r="E2" s="13">
        <f>SUM(department_performance[[#This Row],[Variance Amount ]]/department_performance[[#This Row],[Budget]])</f>
        <v>0.15064951863270584</v>
      </c>
      <c r="G2" s="6" t="s">
        <v>17</v>
      </c>
      <c r="H2" s="7">
        <v>11137380</v>
      </c>
      <c r="I2"/>
    </row>
    <row r="3" spans="1:9" x14ac:dyDescent="0.2">
      <c r="A3" s="1" t="s">
        <v>13</v>
      </c>
      <c r="B3" s="2">
        <v>137371163</v>
      </c>
      <c r="C3" s="2">
        <v>155439763</v>
      </c>
      <c r="D3" s="2">
        <v>18068600</v>
      </c>
      <c r="E3" s="13">
        <f>SUM(department_performance[[#This Row],[Variance Amount ]]/department_performance[[#This Row],[Budget]])</f>
        <v>0.13153124429761143</v>
      </c>
      <c r="G3" s="6" t="s">
        <v>13</v>
      </c>
      <c r="H3" s="7">
        <v>18068600</v>
      </c>
      <c r="I3"/>
    </row>
    <row r="4" spans="1:9" x14ac:dyDescent="0.2">
      <c r="A4" s="1" t="s">
        <v>14</v>
      </c>
      <c r="B4" s="2">
        <v>134804760</v>
      </c>
      <c r="C4" s="2">
        <v>151459340</v>
      </c>
      <c r="D4" s="2">
        <v>16654580</v>
      </c>
      <c r="E4" s="13">
        <f>SUM(department_performance[[#This Row],[Variance Amount ]]/department_performance[[#This Row],[Budget]])</f>
        <v>0.12354593413467002</v>
      </c>
      <c r="G4" s="6" t="s">
        <v>16</v>
      </c>
      <c r="H4" s="7">
        <v>13892025</v>
      </c>
      <c r="I4"/>
    </row>
    <row r="5" spans="1:9" x14ac:dyDescent="0.2">
      <c r="A5" s="1" t="s">
        <v>15</v>
      </c>
      <c r="B5" s="2">
        <v>132622213</v>
      </c>
      <c r="C5" s="2">
        <v>147803987</v>
      </c>
      <c r="D5" s="2">
        <v>15181774</v>
      </c>
      <c r="E5" s="13">
        <f>SUM(department_performance[[#This Row],[Variance Amount ]]/department_performance[[#This Row],[Budget]])</f>
        <v>0.11447384006478613</v>
      </c>
      <c r="G5" s="6" t="s">
        <v>12</v>
      </c>
      <c r="H5" s="7">
        <v>19876619</v>
      </c>
      <c r="I5"/>
    </row>
    <row r="6" spans="1:9" x14ac:dyDescent="0.2">
      <c r="A6" s="1" t="s">
        <v>16</v>
      </c>
      <c r="B6" s="2">
        <v>125771001</v>
      </c>
      <c r="C6" s="2">
        <v>139663026</v>
      </c>
      <c r="D6" s="2">
        <v>13892025</v>
      </c>
      <c r="E6" s="13">
        <f>SUM(department_performance[[#This Row],[Variance Amount ]]/department_performance[[#This Row],[Budget]])</f>
        <v>0.11045491321167111</v>
      </c>
      <c r="G6" s="6" t="s">
        <v>15</v>
      </c>
      <c r="H6" s="7">
        <v>15181774</v>
      </c>
      <c r="I6"/>
    </row>
    <row r="7" spans="1:9" x14ac:dyDescent="0.2">
      <c r="A7" s="1" t="s">
        <v>17</v>
      </c>
      <c r="B7" s="2">
        <v>132947149</v>
      </c>
      <c r="C7" s="2">
        <v>144084529</v>
      </c>
      <c r="D7" s="2">
        <v>11137380</v>
      </c>
      <c r="E7" s="13">
        <f>SUM(department_performance[[#This Row],[Variance Amount ]]/department_performance[[#This Row],[Budget]])</f>
        <v>8.3772988618206479E-2</v>
      </c>
      <c r="G7" s="6" t="s">
        <v>14</v>
      </c>
      <c r="H7" s="7">
        <v>16654580</v>
      </c>
      <c r="I7"/>
    </row>
    <row r="8" spans="1:9" x14ac:dyDescent="0.2">
      <c r="G8" s="6" t="s">
        <v>29</v>
      </c>
      <c r="H8" s="7">
        <v>94810978</v>
      </c>
      <c r="I8"/>
    </row>
    <row r="9" spans="1:9" x14ac:dyDescent="0.2">
      <c r="G9"/>
      <c r="H9"/>
      <c r="I9"/>
    </row>
    <row r="10" spans="1:9" x14ac:dyDescent="0.2">
      <c r="G10"/>
      <c r="H10"/>
      <c r="I10"/>
    </row>
    <row r="11" spans="1:9" x14ac:dyDescent="0.2">
      <c r="G11"/>
      <c r="H11"/>
      <c r="I11"/>
    </row>
    <row r="12" spans="1:9" x14ac:dyDescent="0.2">
      <c r="G12"/>
      <c r="H12"/>
      <c r="I12"/>
    </row>
    <row r="13" spans="1:9" x14ac:dyDescent="0.2">
      <c r="G13"/>
      <c r="H13"/>
      <c r="I13"/>
    </row>
    <row r="14" spans="1:9" x14ac:dyDescent="0.2">
      <c r="G14"/>
      <c r="H14"/>
      <c r="I14"/>
    </row>
    <row r="15" spans="1:9" x14ac:dyDescent="0.2">
      <c r="G15"/>
      <c r="H15"/>
      <c r="I15"/>
    </row>
    <row r="16" spans="1:9" x14ac:dyDescent="0.2">
      <c r="G16"/>
      <c r="H16"/>
      <c r="I16"/>
    </row>
    <row r="17" spans="7:9" x14ac:dyDescent="0.2">
      <c r="G17"/>
      <c r="H17"/>
      <c r="I17"/>
    </row>
    <row r="18" spans="7:9" x14ac:dyDescent="0.2">
      <c r="G18"/>
      <c r="H18"/>
      <c r="I18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C8D9-D3C3-EC44-9F9D-21D7FAD30198}">
  <dimension ref="A1:I18"/>
  <sheetViews>
    <sheetView workbookViewId="0">
      <selection activeCell="G22" sqref="G22"/>
    </sheetView>
  </sheetViews>
  <sheetFormatPr baseColWidth="10" defaultRowHeight="16" x14ac:dyDescent="0.2"/>
  <cols>
    <col min="1" max="1" width="19.5" style="1" customWidth="1"/>
    <col min="2" max="2" width="19" style="2" customWidth="1"/>
    <col min="3" max="3" width="22.5" style="2" customWidth="1"/>
    <col min="4" max="4" width="25.5" style="2" customWidth="1"/>
    <col min="5" max="5" width="24.83203125" style="13" customWidth="1"/>
    <col min="6" max="6" width="10.83203125" style="1"/>
    <col min="7" max="7" width="13" style="1" bestFit="1" customWidth="1"/>
    <col min="8" max="8" width="15.6640625" style="1" customWidth="1"/>
    <col min="9" max="9" width="17.33203125" style="1" customWidth="1"/>
    <col min="10" max="16384" width="10.83203125" style="1"/>
  </cols>
  <sheetData>
    <row r="1" spans="1:9" x14ac:dyDescent="0.2">
      <c r="A1" s="1" t="s">
        <v>38</v>
      </c>
      <c r="B1" s="2" t="s">
        <v>32</v>
      </c>
      <c r="C1" s="2" t="s">
        <v>33</v>
      </c>
      <c r="D1" s="2" t="s">
        <v>37</v>
      </c>
      <c r="E1" s="13" t="s">
        <v>39</v>
      </c>
      <c r="G1" s="5" t="s">
        <v>28</v>
      </c>
      <c r="H1" t="s">
        <v>42</v>
      </c>
      <c r="I1" t="s">
        <v>43</v>
      </c>
    </row>
    <row r="2" spans="1:9" x14ac:dyDescent="0.2">
      <c r="A2" s="1" t="s">
        <v>18</v>
      </c>
      <c r="B2" s="2">
        <v>127131160</v>
      </c>
      <c r="C2" s="2">
        <v>147744247</v>
      </c>
      <c r="D2" s="2">
        <v>20613087</v>
      </c>
      <c r="E2" s="13">
        <f>SUM(category_performance[[#This Row],[Variance Amount ]]/category_performance[[#This Row],[Budget]])</f>
        <v>0.1621403202802523</v>
      </c>
      <c r="G2" s="6" t="s">
        <v>21</v>
      </c>
      <c r="H2" s="7">
        <v>127813870</v>
      </c>
      <c r="I2" s="7">
        <v>140825422</v>
      </c>
    </row>
    <row r="3" spans="1:9" x14ac:dyDescent="0.2">
      <c r="A3" s="1" t="s">
        <v>19</v>
      </c>
      <c r="B3" s="2">
        <v>137891618</v>
      </c>
      <c r="C3" s="2">
        <v>155260320</v>
      </c>
      <c r="D3" s="2">
        <v>17368702</v>
      </c>
      <c r="E3" s="13">
        <f>SUM(category_performance[[#This Row],[Variance Amount ]]/category_performance[[#This Row],[Budget]])</f>
        <v>0.12595908476467366</v>
      </c>
      <c r="G3" s="6" t="s">
        <v>12</v>
      </c>
      <c r="H3" s="7">
        <v>130224132</v>
      </c>
      <c r="I3" s="7">
        <v>146525696</v>
      </c>
    </row>
    <row r="4" spans="1:9" x14ac:dyDescent="0.2">
      <c r="A4" s="1" t="s">
        <v>12</v>
      </c>
      <c r="B4" s="2">
        <v>130224132</v>
      </c>
      <c r="C4" s="2">
        <v>146525696</v>
      </c>
      <c r="D4" s="2">
        <v>16301564</v>
      </c>
      <c r="E4" s="13">
        <f>SUM(category_performance[[#This Row],[Variance Amount ]]/category_performance[[#This Row],[Budget]])</f>
        <v>0.1251808228600825</v>
      </c>
      <c r="G4" s="6" t="s">
        <v>18</v>
      </c>
      <c r="H4" s="7">
        <v>127131160</v>
      </c>
      <c r="I4" s="7">
        <v>147744247</v>
      </c>
    </row>
    <row r="5" spans="1:9" x14ac:dyDescent="0.2">
      <c r="A5" s="1" t="s">
        <v>20</v>
      </c>
      <c r="B5" s="2">
        <v>140071130</v>
      </c>
      <c r="C5" s="2">
        <v>154999674</v>
      </c>
      <c r="D5" s="2">
        <v>14928544</v>
      </c>
      <c r="E5" s="13">
        <f>SUM(category_performance[[#This Row],[Variance Amount ]]/category_performance[[#This Row],[Budget]])</f>
        <v>0.10657830774978398</v>
      </c>
      <c r="G5" s="6" t="s">
        <v>22</v>
      </c>
      <c r="H5" s="7">
        <v>132399473</v>
      </c>
      <c r="I5" s="7">
        <v>145010926</v>
      </c>
    </row>
    <row r="6" spans="1:9" x14ac:dyDescent="0.2">
      <c r="A6" s="1" t="s">
        <v>21</v>
      </c>
      <c r="B6" s="2">
        <v>127813870</v>
      </c>
      <c r="C6" s="2">
        <v>140825422</v>
      </c>
      <c r="D6" s="2">
        <v>13011552</v>
      </c>
      <c r="E6" s="13">
        <f>SUM(category_performance[[#This Row],[Variance Amount ]]/category_performance[[#This Row],[Budget]])</f>
        <v>0.10180078265371356</v>
      </c>
      <c r="G6" s="6" t="s">
        <v>20</v>
      </c>
      <c r="H6" s="7">
        <v>140071130</v>
      </c>
      <c r="I6" s="7">
        <v>154999674</v>
      </c>
    </row>
    <row r="7" spans="1:9" x14ac:dyDescent="0.2">
      <c r="A7" s="1" t="s">
        <v>22</v>
      </c>
      <c r="B7" s="2">
        <v>132399473</v>
      </c>
      <c r="C7" s="2">
        <v>145010926</v>
      </c>
      <c r="D7" s="2">
        <v>12611453</v>
      </c>
      <c r="E7" s="13">
        <f>SUM(category_performance[[#This Row],[Variance Amount ]]/category_performance[[#This Row],[Budget]])</f>
        <v>9.5253045304795128E-2</v>
      </c>
      <c r="G7" s="6" t="s">
        <v>19</v>
      </c>
      <c r="H7" s="7">
        <v>137891618</v>
      </c>
      <c r="I7" s="7">
        <v>155260320</v>
      </c>
    </row>
    <row r="8" spans="1:9" x14ac:dyDescent="0.2">
      <c r="G8" s="6" t="s">
        <v>29</v>
      </c>
      <c r="H8" s="7">
        <v>795531383</v>
      </c>
      <c r="I8" s="7">
        <v>890366285</v>
      </c>
    </row>
    <row r="9" spans="1:9" x14ac:dyDescent="0.2">
      <c r="G9"/>
      <c r="H9"/>
      <c r="I9"/>
    </row>
    <row r="10" spans="1:9" x14ac:dyDescent="0.2">
      <c r="G10"/>
      <c r="H10"/>
      <c r="I10"/>
    </row>
    <row r="11" spans="1:9" x14ac:dyDescent="0.2">
      <c r="G11"/>
      <c r="H11"/>
      <c r="I11"/>
    </row>
    <row r="12" spans="1:9" x14ac:dyDescent="0.2">
      <c r="G12"/>
      <c r="H12"/>
      <c r="I12"/>
    </row>
    <row r="13" spans="1:9" x14ac:dyDescent="0.2">
      <c r="G13"/>
      <c r="H13"/>
      <c r="I13"/>
    </row>
    <row r="14" spans="1:9" x14ac:dyDescent="0.2">
      <c r="G14"/>
      <c r="H14"/>
      <c r="I14"/>
    </row>
    <row r="15" spans="1:9" x14ac:dyDescent="0.2">
      <c r="G15"/>
      <c r="H15"/>
      <c r="I15"/>
    </row>
    <row r="16" spans="1:9" x14ac:dyDescent="0.2">
      <c r="G16"/>
      <c r="H16"/>
      <c r="I16"/>
    </row>
    <row r="17" spans="7:9" x14ac:dyDescent="0.2">
      <c r="G17"/>
      <c r="H17"/>
      <c r="I17"/>
    </row>
    <row r="18" spans="7:9" x14ac:dyDescent="0.2">
      <c r="G18"/>
      <c r="H18"/>
      <c r="I18"/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AD02-9547-3C4A-9853-D60ECA792316}">
  <dimension ref="A1:I18"/>
  <sheetViews>
    <sheetView workbookViewId="0">
      <selection activeCell="F7" sqref="F7"/>
    </sheetView>
  </sheetViews>
  <sheetFormatPr baseColWidth="10" defaultRowHeight="16" x14ac:dyDescent="0.2"/>
  <cols>
    <col min="1" max="1" width="17.1640625" style="1" customWidth="1"/>
    <col min="2" max="2" width="18.1640625" style="2" customWidth="1"/>
    <col min="3" max="4" width="18.6640625" style="2" customWidth="1"/>
    <col min="5" max="5" width="22" style="13" customWidth="1"/>
    <col min="6" max="6" width="10.83203125" style="1"/>
    <col min="7" max="7" width="13" style="1" bestFit="1" customWidth="1"/>
    <col min="8" max="8" width="22" style="1" bestFit="1" customWidth="1"/>
    <col min="9" max="16384" width="10.83203125" style="1"/>
  </cols>
  <sheetData>
    <row r="1" spans="1:9" x14ac:dyDescent="0.2">
      <c r="A1" s="1" t="s">
        <v>40</v>
      </c>
      <c r="B1" s="2" t="s">
        <v>32</v>
      </c>
      <c r="C1" s="2" t="s">
        <v>33</v>
      </c>
      <c r="D1" s="2" t="s">
        <v>37</v>
      </c>
      <c r="E1" s="13" t="s">
        <v>39</v>
      </c>
      <c r="G1" s="5" t="s">
        <v>28</v>
      </c>
      <c r="H1" t="s">
        <v>41</v>
      </c>
      <c r="I1"/>
    </row>
    <row r="2" spans="1:9" x14ac:dyDescent="0.2">
      <c r="A2" s="1" t="s">
        <v>23</v>
      </c>
      <c r="B2" s="2">
        <v>159685797</v>
      </c>
      <c r="C2" s="2">
        <v>181076974</v>
      </c>
      <c r="D2" s="2">
        <v>21391177</v>
      </c>
      <c r="E2" s="13">
        <f>SUM(region_performance[[#This Row],[Variance Amount ]]/region_performance[[#This Row],[Budget]])</f>
        <v>0.13395791862440967</v>
      </c>
      <c r="G2" s="6" t="s">
        <v>24</v>
      </c>
      <c r="H2" s="7">
        <v>19432887</v>
      </c>
      <c r="I2"/>
    </row>
    <row r="3" spans="1:9" x14ac:dyDescent="0.2">
      <c r="A3" s="1" t="s">
        <v>24</v>
      </c>
      <c r="B3" s="2">
        <v>162759606</v>
      </c>
      <c r="C3" s="2">
        <v>182192493</v>
      </c>
      <c r="D3" s="2">
        <v>19432887</v>
      </c>
      <c r="E3" s="13">
        <f>SUM(region_performance[[#This Row],[Variance Amount ]]/region_performance[[#This Row],[Budget]])</f>
        <v>0.11939625240921264</v>
      </c>
      <c r="G3" s="6" t="s">
        <v>23</v>
      </c>
      <c r="H3" s="7">
        <v>21391177</v>
      </c>
      <c r="I3"/>
    </row>
    <row r="4" spans="1:9" x14ac:dyDescent="0.2">
      <c r="A4" s="1" t="s">
        <v>25</v>
      </c>
      <c r="B4" s="2">
        <v>157991439</v>
      </c>
      <c r="C4" s="2">
        <v>176760699</v>
      </c>
      <c r="D4" s="2">
        <v>18769260</v>
      </c>
      <c r="E4" s="13">
        <f>SUM(region_performance[[#This Row],[Variance Amount ]]/region_performance[[#This Row],[Budget]])</f>
        <v>0.11879922177302278</v>
      </c>
      <c r="G4" s="6" t="s">
        <v>27</v>
      </c>
      <c r="H4" s="7">
        <v>16532154</v>
      </c>
      <c r="I4"/>
    </row>
    <row r="5" spans="1:9" x14ac:dyDescent="0.2">
      <c r="A5" s="1" t="s">
        <v>26</v>
      </c>
      <c r="B5" s="2">
        <v>157004504</v>
      </c>
      <c r="C5" s="2">
        <v>175505843</v>
      </c>
      <c r="D5" s="2">
        <v>18501339</v>
      </c>
      <c r="E5" s="13">
        <f>SUM(region_performance[[#This Row],[Variance Amount ]]/region_performance[[#This Row],[Budget]])</f>
        <v>0.11783954299807858</v>
      </c>
      <c r="G5" s="6" t="s">
        <v>25</v>
      </c>
      <c r="H5" s="7">
        <v>18769260</v>
      </c>
      <c r="I5"/>
    </row>
    <row r="6" spans="1:9" x14ac:dyDescent="0.2">
      <c r="A6" s="1" t="s">
        <v>27</v>
      </c>
      <c r="B6" s="2">
        <v>157929548</v>
      </c>
      <c r="C6" s="2">
        <v>174461702</v>
      </c>
      <c r="D6" s="2">
        <v>16532154</v>
      </c>
      <c r="E6" s="13">
        <f>SUM(region_performance[[#This Row],[Variance Amount ]]/region_performance[[#This Row],[Budget]])</f>
        <v>0.10468056300648691</v>
      </c>
      <c r="G6" s="6" t="s">
        <v>26</v>
      </c>
      <c r="H6" s="7">
        <v>18501339</v>
      </c>
      <c r="I6"/>
    </row>
    <row r="7" spans="1:9" x14ac:dyDescent="0.2">
      <c r="G7" s="6" t="s">
        <v>29</v>
      </c>
      <c r="H7" s="7">
        <v>94626817</v>
      </c>
      <c r="I7"/>
    </row>
    <row r="8" spans="1:9" x14ac:dyDescent="0.2">
      <c r="G8"/>
      <c r="H8"/>
      <c r="I8"/>
    </row>
    <row r="9" spans="1:9" x14ac:dyDescent="0.2">
      <c r="G9"/>
      <c r="H9"/>
      <c r="I9"/>
    </row>
    <row r="10" spans="1:9" x14ac:dyDescent="0.2">
      <c r="G10"/>
      <c r="H10"/>
      <c r="I10"/>
    </row>
    <row r="11" spans="1:9" x14ac:dyDescent="0.2">
      <c r="G11"/>
      <c r="H11"/>
      <c r="I11"/>
    </row>
    <row r="12" spans="1:9" x14ac:dyDescent="0.2">
      <c r="G12"/>
      <c r="H12"/>
      <c r="I12"/>
    </row>
    <row r="13" spans="1:9" x14ac:dyDescent="0.2">
      <c r="G13"/>
      <c r="H13"/>
      <c r="I13"/>
    </row>
    <row r="14" spans="1:9" x14ac:dyDescent="0.2">
      <c r="G14"/>
      <c r="H14"/>
      <c r="I14"/>
    </row>
    <row r="15" spans="1:9" x14ac:dyDescent="0.2">
      <c r="G15"/>
      <c r="H15"/>
      <c r="I15"/>
    </row>
    <row r="16" spans="1:9" x14ac:dyDescent="0.2">
      <c r="G16"/>
      <c r="H16"/>
      <c r="I16"/>
    </row>
    <row r="17" spans="7:9" x14ac:dyDescent="0.2">
      <c r="G17"/>
      <c r="H17"/>
      <c r="I17"/>
    </row>
    <row r="18" spans="7:9" x14ac:dyDescent="0.2">
      <c r="G18"/>
      <c r="H18"/>
      <c r="I18"/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66D3-862E-3240-95B7-27DF046782D7}">
  <dimension ref="A1:I36"/>
  <sheetViews>
    <sheetView workbookViewId="0">
      <selection activeCell="I17" sqref="I17"/>
    </sheetView>
  </sheetViews>
  <sheetFormatPr baseColWidth="10" defaultRowHeight="16" x14ac:dyDescent="0.2"/>
  <cols>
    <col min="1" max="1" width="20.1640625" style="1" customWidth="1"/>
    <col min="2" max="2" width="18.5" style="2" customWidth="1"/>
    <col min="3" max="3" width="17.6640625" style="2" customWidth="1"/>
    <col min="4" max="4" width="17.83203125" style="1" customWidth="1"/>
    <col min="5" max="5" width="19.1640625" style="1" customWidth="1"/>
    <col min="6" max="6" width="27.5" style="1" customWidth="1"/>
    <col min="7" max="7" width="12.1640625" style="1" bestFit="1" customWidth="1"/>
    <col min="8" max="8" width="27.33203125" style="1" bestFit="1" customWidth="1"/>
    <col min="9" max="16384" width="10.83203125" style="1"/>
  </cols>
  <sheetData>
    <row r="1" spans="1:9" x14ac:dyDescent="0.2">
      <c r="A1" s="1" t="s">
        <v>31</v>
      </c>
      <c r="B1" s="2" t="s">
        <v>45</v>
      </c>
      <c r="C1" s="2" t="s">
        <v>33</v>
      </c>
    </row>
    <row r="2" spans="1:9" x14ac:dyDescent="0.2">
      <c r="A2" s="1" t="s">
        <v>0</v>
      </c>
      <c r="B2" s="2">
        <v>22135628</v>
      </c>
      <c r="C2" s="2">
        <v>22670612</v>
      </c>
    </row>
    <row r="3" spans="1:9" x14ac:dyDescent="0.2">
      <c r="A3" s="1" t="s">
        <v>1</v>
      </c>
      <c r="B3" s="2">
        <v>19393433</v>
      </c>
      <c r="C3" s="2">
        <v>22714535</v>
      </c>
    </row>
    <row r="4" spans="1:9" x14ac:dyDescent="0.2">
      <c r="A4" s="1" t="s">
        <v>2</v>
      </c>
      <c r="B4" s="2">
        <v>23064909</v>
      </c>
      <c r="C4" s="2">
        <v>24144517</v>
      </c>
    </row>
    <row r="5" spans="1:9" x14ac:dyDescent="0.2">
      <c r="A5" s="1" t="s">
        <v>3</v>
      </c>
      <c r="B5" s="2">
        <v>26078247</v>
      </c>
      <c r="C5" s="2">
        <v>29230433</v>
      </c>
    </row>
    <row r="6" spans="1:9" x14ac:dyDescent="0.2">
      <c r="A6" s="1" t="s">
        <v>4</v>
      </c>
      <c r="B6" s="2">
        <v>23256181</v>
      </c>
      <c r="C6" s="2">
        <v>24725549</v>
      </c>
    </row>
    <row r="7" spans="1:9" x14ac:dyDescent="0.2">
      <c r="A7" s="1" t="s">
        <v>5</v>
      </c>
      <c r="B7" s="2">
        <v>22281988</v>
      </c>
      <c r="C7" s="2">
        <v>23994290</v>
      </c>
    </row>
    <row r="8" spans="1:9" x14ac:dyDescent="0.2">
      <c r="A8" s="1" t="s">
        <v>6</v>
      </c>
      <c r="B8" s="2">
        <v>24964894</v>
      </c>
      <c r="C8" s="2">
        <v>28433347</v>
      </c>
    </row>
    <row r="9" spans="1:9" x14ac:dyDescent="0.2">
      <c r="A9" s="1" t="s">
        <v>7</v>
      </c>
      <c r="B9" s="2">
        <v>22068703</v>
      </c>
      <c r="C9" s="2">
        <v>25209565</v>
      </c>
    </row>
    <row r="10" spans="1:9" x14ac:dyDescent="0.2">
      <c r="A10" s="1" t="s">
        <v>8</v>
      </c>
      <c r="B10" s="2">
        <v>23636341</v>
      </c>
      <c r="C10" s="2">
        <v>25829660</v>
      </c>
    </row>
    <row r="11" spans="1:9" x14ac:dyDescent="0.2">
      <c r="A11" s="1" t="s">
        <v>9</v>
      </c>
      <c r="B11" s="2">
        <v>21324454</v>
      </c>
      <c r="C11" s="2">
        <v>24008371</v>
      </c>
    </row>
    <row r="12" spans="1:9" x14ac:dyDescent="0.2">
      <c r="A12" s="1" t="s">
        <v>10</v>
      </c>
      <c r="B12" s="2">
        <v>21286372</v>
      </c>
      <c r="C12" s="2">
        <v>22933724</v>
      </c>
    </row>
    <row r="13" spans="1:9" x14ac:dyDescent="0.2">
      <c r="A13" s="1" t="s">
        <v>11</v>
      </c>
      <c r="B13" s="2">
        <v>22964822</v>
      </c>
      <c r="C13" s="2">
        <v>26106531</v>
      </c>
    </row>
    <row r="15" spans="1:9" s="4" customFormat="1" x14ac:dyDescent="0.2">
      <c r="A15" s="4" t="s">
        <v>44</v>
      </c>
      <c r="B15" s="8" t="s">
        <v>45</v>
      </c>
      <c r="C15" s="8" t="s">
        <v>33</v>
      </c>
      <c r="D15" s="4" t="s">
        <v>46</v>
      </c>
      <c r="E15" s="4" t="s">
        <v>47</v>
      </c>
      <c r="F15" s="4" t="s">
        <v>48</v>
      </c>
      <c r="H15" s="4" t="s">
        <v>84</v>
      </c>
      <c r="I15" s="79">
        <f>SUM(D16:D24)/SUM(B16:B24)</f>
        <v>1.0970231659149954</v>
      </c>
    </row>
    <row r="16" spans="1:9" x14ac:dyDescent="0.2">
      <c r="A16" s="1" t="s">
        <v>49</v>
      </c>
      <c r="B16" s="2">
        <v>22135628</v>
      </c>
      <c r="C16" s="2">
        <v>22670612</v>
      </c>
      <c r="D16" s="2">
        <v>22670612</v>
      </c>
      <c r="E16" s="2">
        <f>D16</f>
        <v>22670612</v>
      </c>
      <c r="F16" s="2">
        <f t="shared" ref="F16:F27" si="0">E16-B16</f>
        <v>534984</v>
      </c>
    </row>
    <row r="17" spans="1:8" x14ac:dyDescent="0.2">
      <c r="A17" s="1" t="s">
        <v>1</v>
      </c>
      <c r="B17" s="2">
        <v>19393433</v>
      </c>
      <c r="C17" s="2">
        <v>22714535</v>
      </c>
      <c r="D17" s="2">
        <v>22714535</v>
      </c>
      <c r="E17" s="2">
        <f t="shared" ref="E17:E24" si="1">D17</f>
        <v>22714535</v>
      </c>
      <c r="F17" s="2">
        <f t="shared" si="0"/>
        <v>3321102</v>
      </c>
    </row>
    <row r="18" spans="1:8" x14ac:dyDescent="0.2">
      <c r="A18" s="1" t="s">
        <v>2</v>
      </c>
      <c r="B18" s="2">
        <v>23064909</v>
      </c>
      <c r="C18" s="2">
        <v>24144517</v>
      </c>
      <c r="D18" s="2">
        <v>24144517</v>
      </c>
      <c r="E18" s="2">
        <f t="shared" si="1"/>
        <v>24144517</v>
      </c>
      <c r="F18" s="2">
        <f t="shared" si="0"/>
        <v>1079608</v>
      </c>
    </row>
    <row r="19" spans="1:8" x14ac:dyDescent="0.2">
      <c r="A19" s="1" t="s">
        <v>3</v>
      </c>
      <c r="B19" s="2">
        <v>26078247</v>
      </c>
      <c r="C19" s="2">
        <v>29230433</v>
      </c>
      <c r="D19" s="2">
        <v>29230433</v>
      </c>
      <c r="E19" s="2">
        <f t="shared" si="1"/>
        <v>29230433</v>
      </c>
      <c r="F19" s="2">
        <f t="shared" si="0"/>
        <v>3152186</v>
      </c>
      <c r="G19" s="2"/>
    </row>
    <row r="20" spans="1:8" x14ac:dyDescent="0.2">
      <c r="A20" s="1" t="s">
        <v>4</v>
      </c>
      <c r="B20" s="2">
        <v>23256181</v>
      </c>
      <c r="C20" s="2">
        <v>24725549</v>
      </c>
      <c r="D20" s="2">
        <v>24725549</v>
      </c>
      <c r="E20" s="2">
        <f t="shared" si="1"/>
        <v>24725549</v>
      </c>
      <c r="F20" s="2">
        <f t="shared" si="0"/>
        <v>1469368</v>
      </c>
    </row>
    <row r="21" spans="1:8" x14ac:dyDescent="0.2">
      <c r="A21" s="1" t="s">
        <v>5</v>
      </c>
      <c r="B21" s="2">
        <v>22281988</v>
      </c>
      <c r="C21" s="2">
        <v>23994290</v>
      </c>
      <c r="D21" s="2">
        <v>23994290</v>
      </c>
      <c r="E21" s="2">
        <f t="shared" si="1"/>
        <v>23994290</v>
      </c>
      <c r="F21" s="2">
        <f t="shared" si="0"/>
        <v>1712302</v>
      </c>
    </row>
    <row r="22" spans="1:8" x14ac:dyDescent="0.2">
      <c r="A22" s="1" t="s">
        <v>6</v>
      </c>
      <c r="B22" s="2">
        <v>24964894</v>
      </c>
      <c r="C22" s="2">
        <v>28433347</v>
      </c>
      <c r="D22" s="2">
        <v>28433347</v>
      </c>
      <c r="E22" s="2">
        <f t="shared" si="1"/>
        <v>28433347</v>
      </c>
      <c r="F22" s="2">
        <f t="shared" si="0"/>
        <v>3468453</v>
      </c>
    </row>
    <row r="23" spans="1:8" x14ac:dyDescent="0.2">
      <c r="A23" s="1" t="s">
        <v>7</v>
      </c>
      <c r="B23" s="2">
        <v>22068703</v>
      </c>
      <c r="C23" s="2">
        <v>25209565</v>
      </c>
      <c r="D23" s="2">
        <v>25209565</v>
      </c>
      <c r="E23" s="2">
        <f t="shared" si="1"/>
        <v>25209565</v>
      </c>
      <c r="F23" s="2">
        <f t="shared" si="0"/>
        <v>3140862</v>
      </c>
    </row>
    <row r="24" spans="1:8" x14ac:dyDescent="0.2">
      <c r="A24" s="1" t="s">
        <v>8</v>
      </c>
      <c r="B24" s="2">
        <v>23636341</v>
      </c>
      <c r="C24" s="2">
        <v>25829660</v>
      </c>
      <c r="D24" s="2">
        <v>25829660</v>
      </c>
      <c r="E24" s="2">
        <f t="shared" si="1"/>
        <v>25829660</v>
      </c>
      <c r="F24" s="2">
        <f t="shared" si="0"/>
        <v>2193319</v>
      </c>
    </row>
    <row r="25" spans="1:8" x14ac:dyDescent="0.2">
      <c r="A25" s="1" t="s">
        <v>9</v>
      </c>
      <c r="B25" s="2">
        <v>21324454</v>
      </c>
      <c r="C25" s="2">
        <v>24008371</v>
      </c>
      <c r="D25" s="1" t="s">
        <v>50</v>
      </c>
      <c r="E25" s="82">
        <f>B25*$I$15</f>
        <v>23393420.038488686</v>
      </c>
      <c r="F25" s="82">
        <f t="shared" si="0"/>
        <v>2068966.0384886861</v>
      </c>
      <c r="H25" s="1" t="s">
        <v>85</v>
      </c>
    </row>
    <row r="26" spans="1:8" x14ac:dyDescent="0.2">
      <c r="A26" s="1" t="s">
        <v>10</v>
      </c>
      <c r="B26" s="2">
        <v>21286372</v>
      </c>
      <c r="C26" s="2">
        <v>22933724</v>
      </c>
      <c r="D26" s="1" t="s">
        <v>50</v>
      </c>
      <c r="E26" s="82">
        <f t="shared" ref="E26:E27" si="2">B26*$I$15</f>
        <v>23351643.202284314</v>
      </c>
      <c r="F26" s="82">
        <f t="shared" si="0"/>
        <v>2065271.2022843137</v>
      </c>
    </row>
    <row r="27" spans="1:8" x14ac:dyDescent="0.2">
      <c r="A27" s="1" t="s">
        <v>11</v>
      </c>
      <c r="B27" s="2">
        <v>22964822</v>
      </c>
      <c r="C27" s="2">
        <v>26106531</v>
      </c>
      <c r="D27" s="1" t="s">
        <v>50</v>
      </c>
      <c r="E27" s="82">
        <f t="shared" si="2"/>
        <v>25192941.735114336</v>
      </c>
      <c r="F27" s="82">
        <f t="shared" si="0"/>
        <v>2228119.735114336</v>
      </c>
    </row>
    <row r="28" spans="1:8" x14ac:dyDescent="0.2">
      <c r="A28" s="80" t="s">
        <v>51</v>
      </c>
      <c r="B28" s="81">
        <f>SUM(B16:B27)</f>
        <v>272455972</v>
      </c>
      <c r="C28" s="81">
        <f>SUM(Table6[Actual])</f>
        <v>300001134</v>
      </c>
      <c r="D28" s="80"/>
      <c r="E28" s="81">
        <f>SUM(Table6[Forecast])</f>
        <v>298890512.97588736</v>
      </c>
      <c r="F28" s="81">
        <f>SUBTOTAL(109,Table6[Variance to Budget])</f>
        <v>26434540.975887336</v>
      </c>
    </row>
    <row r="30" spans="1:8" x14ac:dyDescent="0.2">
      <c r="A30" s="41" t="s">
        <v>58</v>
      </c>
      <c r="B30" s="42"/>
    </row>
    <row r="31" spans="1:8" x14ac:dyDescent="0.2">
      <c r="A31" s="10" t="s">
        <v>52</v>
      </c>
      <c r="B31" s="11">
        <f>SUM(forecast_2023_input[[Budget ]])</f>
        <v>272455972</v>
      </c>
    </row>
    <row r="32" spans="1:8" x14ac:dyDescent="0.2">
      <c r="A32" s="10" t="s">
        <v>53</v>
      </c>
      <c r="B32" s="11">
        <f>SUM(Table6[Forecast])</f>
        <v>298890512.97588736</v>
      </c>
    </row>
    <row r="33" spans="1:2" x14ac:dyDescent="0.2">
      <c r="A33" s="10" t="s">
        <v>54</v>
      </c>
      <c r="B33" s="11">
        <f>SUM(forecast_2023_input[Actual])</f>
        <v>300001134</v>
      </c>
    </row>
    <row r="34" spans="1:2" x14ac:dyDescent="0.2">
      <c r="A34" s="10" t="s">
        <v>55</v>
      </c>
      <c r="B34" s="11">
        <f>Table6[[#Totals],[Forecast]]-Table6[[#Totals],[Actual]]</f>
        <v>-1110621.0241126418</v>
      </c>
    </row>
    <row r="35" spans="1:2" x14ac:dyDescent="0.2">
      <c r="A35" s="10" t="s">
        <v>56</v>
      </c>
      <c r="B35" s="12">
        <f>(Table6[[#Totals],[Forecast]]-Table6[[#Totals],[Actual]])/Table6[[#Totals],[Actual]]</f>
        <v>-3.7020560866034653E-3</v>
      </c>
    </row>
    <row r="36" spans="1:2" x14ac:dyDescent="0.2">
      <c r="A36" s="10" t="s">
        <v>57</v>
      </c>
      <c r="B36" s="12">
        <f>(B32-B31)/B31</f>
        <v>9.7023165914995463E-2</v>
      </c>
    </row>
  </sheetData>
  <mergeCells count="1">
    <mergeCell ref="A30:B30"/>
  </mergeCells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594D-F242-0E45-B891-1D00E2EAE773}">
  <dimension ref="A1:M21"/>
  <sheetViews>
    <sheetView workbookViewId="0">
      <selection activeCell="B13" sqref="B13"/>
    </sheetView>
  </sheetViews>
  <sheetFormatPr baseColWidth="10" defaultRowHeight="16" x14ac:dyDescent="0.2"/>
  <cols>
    <col min="1" max="1" width="30.33203125" style="1" customWidth="1"/>
    <col min="2" max="2" width="29.83203125" style="1" customWidth="1"/>
    <col min="3" max="4" width="30.1640625" style="16" customWidth="1"/>
    <col min="5" max="5" width="25.83203125" style="16" customWidth="1"/>
    <col min="6" max="6" width="25.5" style="16" customWidth="1"/>
    <col min="7" max="7" width="20" style="9" customWidth="1"/>
    <col min="8" max="16384" width="10.83203125" style="1"/>
  </cols>
  <sheetData>
    <row r="1" spans="1:9" x14ac:dyDescent="0.2">
      <c r="A1" s="43" t="s">
        <v>59</v>
      </c>
      <c r="B1" s="43"/>
      <c r="C1" s="43"/>
      <c r="D1" s="43"/>
      <c r="E1" s="43"/>
      <c r="F1" s="43"/>
      <c r="G1" s="43"/>
    </row>
    <row r="2" spans="1:9" x14ac:dyDescent="0.2">
      <c r="B2" s="2"/>
    </row>
    <row r="3" spans="1:9" x14ac:dyDescent="0.2">
      <c r="A3" s="1" t="s">
        <v>60</v>
      </c>
      <c r="B3" s="2" t="s">
        <v>61</v>
      </c>
      <c r="C3" s="16" t="s">
        <v>62</v>
      </c>
      <c r="D3" s="16" t="s">
        <v>63</v>
      </c>
      <c r="E3" s="16" t="s">
        <v>68</v>
      </c>
      <c r="F3" s="16" t="s">
        <v>64</v>
      </c>
      <c r="G3" s="9" t="s">
        <v>39</v>
      </c>
    </row>
    <row r="4" spans="1:9" x14ac:dyDescent="0.2">
      <c r="A4" s="1" t="s">
        <v>65</v>
      </c>
      <c r="B4" s="14">
        <v>-0.05</v>
      </c>
      <c r="C4" s="16">
        <f>SUM('Forecast 2023'!E25:E27)*(1+'Scenario Analysis'!B4)</f>
        <v>68341104.727092952</v>
      </c>
      <c r="D4" s="16">
        <f>SUM('Forecast 2023'!D16:D24)</f>
        <v>226952508</v>
      </c>
      <c r="E4" s="16">
        <f>D4+C4</f>
        <v>295293612.72709298</v>
      </c>
      <c r="F4" s="16">
        <f>E4-Table6[[#Totals],[Budget ]]</f>
        <v>22837640.727092981</v>
      </c>
      <c r="G4" s="9">
        <f>F4/Table6[[#Totals],[Budget ]]</f>
        <v>8.3821398956499954E-2</v>
      </c>
    </row>
    <row r="5" spans="1:9" x14ac:dyDescent="0.2">
      <c r="A5" s="1" t="s">
        <v>66</v>
      </c>
      <c r="B5" s="15">
        <v>0</v>
      </c>
      <c r="C5" s="16">
        <f>SUM('Forecast 2023'!E25:E27)*('Scenario Analysis'!B5+1)</f>
        <v>71938004.975887328</v>
      </c>
      <c r="D5" s="16">
        <f>SUM('Forecast 2023'!D16:D24)</f>
        <v>226952508</v>
      </c>
      <c r="E5" s="16">
        <f>D5+C5</f>
        <v>298890512.9758873</v>
      </c>
      <c r="F5" s="16">
        <f>E5-Table6[[#Totals],[Budget ]]</f>
        <v>26434540.975887299</v>
      </c>
      <c r="G5" s="9">
        <f>F5/Table6[[#Totals],[Budget ]]</f>
        <v>9.7023165914995241E-2</v>
      </c>
    </row>
    <row r="6" spans="1:9" x14ac:dyDescent="0.2">
      <c r="A6" s="1" t="s">
        <v>67</v>
      </c>
      <c r="B6" s="15">
        <v>0.05</v>
      </c>
      <c r="C6" s="16">
        <f>SUM('Forecast 2023'!E25:E27)*('Scenario Analysis'!B6+1)</f>
        <v>75534905.224681705</v>
      </c>
      <c r="D6" s="16">
        <f>SUM('Forecast 2023'!D16:D24)</f>
        <v>226952508</v>
      </c>
      <c r="E6" s="16">
        <f>D6+C6</f>
        <v>302487413.22468174</v>
      </c>
      <c r="F6" s="16">
        <f>E6-Table6[[#Totals],[Budget ]]</f>
        <v>30031441.224681735</v>
      </c>
      <c r="G6" s="9">
        <f>F6/Table6[[#Totals],[Budget ]]</f>
        <v>0.11022493287349097</v>
      </c>
    </row>
    <row r="8" spans="1:9" x14ac:dyDescent="0.2">
      <c r="A8" s="1" t="s">
        <v>60</v>
      </c>
      <c r="B8" s="1" t="s">
        <v>69</v>
      </c>
    </row>
    <row r="9" spans="1:9" x14ac:dyDescent="0.2">
      <c r="A9" s="1" t="s">
        <v>45</v>
      </c>
      <c r="B9" s="16">
        <f>Table6[[#Totals],[Budget ]]</f>
        <v>272455972</v>
      </c>
    </row>
    <row r="10" spans="1:9" x14ac:dyDescent="0.2">
      <c r="A10" s="1" t="s">
        <v>70</v>
      </c>
      <c r="B10" s="16">
        <f>E4</f>
        <v>295293612.72709298</v>
      </c>
    </row>
    <row r="11" spans="1:9" x14ac:dyDescent="0.2">
      <c r="A11" s="1" t="s">
        <v>66</v>
      </c>
      <c r="B11" s="16">
        <f>E5</f>
        <v>298890512.9758873</v>
      </c>
    </row>
    <row r="12" spans="1:9" x14ac:dyDescent="0.2">
      <c r="A12" s="1" t="s">
        <v>71</v>
      </c>
      <c r="B12" s="16">
        <f>E6</f>
        <v>302487413.22468174</v>
      </c>
    </row>
    <row r="14" spans="1:9" x14ac:dyDescent="0.2">
      <c r="I14" s="2"/>
    </row>
    <row r="17" spans="12:13" x14ac:dyDescent="0.2">
      <c r="L17" s="2"/>
      <c r="M17" s="2"/>
    </row>
    <row r="19" spans="12:13" x14ac:dyDescent="0.2">
      <c r="L19" s="2"/>
    </row>
    <row r="21" spans="12:13" x14ac:dyDescent="0.2">
      <c r="L21" s="9"/>
    </row>
  </sheetData>
  <mergeCells count="1">
    <mergeCell ref="A1:G1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8804-763B-A74D-913C-6A9238871E44}">
  <dimension ref="A1:V50"/>
  <sheetViews>
    <sheetView showGridLines="0" tabSelected="1" zoomScale="90" zoomScaleNormal="90" workbookViewId="0">
      <selection activeCell="U14" sqref="U14"/>
    </sheetView>
  </sheetViews>
  <sheetFormatPr baseColWidth="10" defaultRowHeight="16" x14ac:dyDescent="0.2"/>
  <cols>
    <col min="1" max="1" width="10.83203125" style="1"/>
    <col min="2" max="2" width="14.83203125" style="1" customWidth="1"/>
    <col min="3" max="3" width="12.1640625" style="1" bestFit="1" customWidth="1"/>
    <col min="4" max="4" width="1" style="1" customWidth="1"/>
    <col min="5" max="5" width="15.5" style="1" customWidth="1"/>
    <col min="6" max="6" width="10.83203125" style="1"/>
    <col min="7" max="7" width="1" style="1" customWidth="1"/>
    <col min="8" max="8" width="18.33203125" style="1" customWidth="1"/>
    <col min="9" max="9" width="10.6640625" style="1" customWidth="1"/>
    <col min="10" max="10" width="0.83203125" style="1" customWidth="1"/>
    <col min="11" max="11" width="13.83203125" style="1" customWidth="1"/>
    <col min="12" max="12" width="10.83203125" style="1"/>
    <col min="13" max="13" width="1.1640625" style="1" customWidth="1"/>
    <col min="14" max="14" width="16.83203125" style="1" customWidth="1"/>
    <col min="15" max="16" width="10.83203125" style="1"/>
    <col min="17" max="19" width="10.83203125" style="18"/>
    <col min="20" max="16384" width="10.83203125" style="1"/>
  </cols>
  <sheetData>
    <row r="1" spans="1:22" ht="16" customHeight="1" x14ac:dyDescent="0.2">
      <c r="B1" s="44" t="s">
        <v>72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22" x14ac:dyDescent="0.2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22" x14ac:dyDescent="0.2">
      <c r="B3" s="45" t="s">
        <v>73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5" spans="1:22" ht="23" customHeight="1" x14ac:dyDescent="0.2">
      <c r="B5" s="54" t="s">
        <v>76</v>
      </c>
      <c r="C5" s="55"/>
      <c r="D5" s="35"/>
      <c r="E5" s="52" t="s">
        <v>74</v>
      </c>
      <c r="F5" s="53"/>
      <c r="G5" s="37"/>
      <c r="H5" s="56" t="s">
        <v>75</v>
      </c>
      <c r="I5" s="57"/>
      <c r="J5" s="38"/>
      <c r="K5" s="58" t="s">
        <v>77</v>
      </c>
      <c r="L5" s="59"/>
      <c r="M5" s="39"/>
      <c r="N5" s="60" t="s">
        <v>53</v>
      </c>
      <c r="O5" s="61"/>
    </row>
    <row r="6" spans="1:22" ht="24" customHeight="1" x14ac:dyDescent="0.2">
      <c r="B6" s="62">
        <f>GETPIVOTDATA("Sum of Budget",'Category Analysis'!$G$1)</f>
        <v>795531383</v>
      </c>
      <c r="C6" s="63"/>
      <c r="D6" s="35"/>
      <c r="E6" s="62">
        <f>GETPIVOTDATA("Sum of Actual",'Category Analysis'!$G$1)</f>
        <v>890366285</v>
      </c>
      <c r="F6" s="63"/>
      <c r="G6" s="35"/>
      <c r="H6" s="46">
        <f>SUM('Category Analysis'!D2:D7)</f>
        <v>94834902</v>
      </c>
      <c r="I6" s="47"/>
      <c r="J6" s="38"/>
      <c r="K6" s="48">
        <f>H6/B6</f>
        <v>0.11920950452309183</v>
      </c>
      <c r="L6" s="49"/>
      <c r="M6" s="40"/>
      <c r="N6" s="50">
        <f>'Scenario Analysis'!E5</f>
        <v>298890512.9758873</v>
      </c>
      <c r="O6" s="51"/>
    </row>
    <row r="7" spans="1:22" x14ac:dyDescent="0.2">
      <c r="B7" s="25"/>
      <c r="C7" s="25"/>
      <c r="D7" s="25"/>
      <c r="E7" s="26"/>
      <c r="F7" s="26"/>
      <c r="G7" s="26"/>
      <c r="H7" s="27"/>
      <c r="I7" s="27"/>
      <c r="J7" s="27"/>
      <c r="K7" s="28"/>
      <c r="L7" s="29"/>
      <c r="M7" s="29"/>
      <c r="N7" s="28"/>
      <c r="O7" s="29"/>
    </row>
    <row r="8" spans="1:22" ht="22" customHeight="1" x14ac:dyDescent="0.2">
      <c r="A8" s="19"/>
      <c r="B8" s="30"/>
      <c r="C8" s="66" t="s">
        <v>52</v>
      </c>
      <c r="D8" s="67"/>
      <c r="E8" s="68"/>
      <c r="F8" s="28"/>
      <c r="G8" s="28"/>
      <c r="H8" s="66" t="s">
        <v>54</v>
      </c>
      <c r="I8" s="68"/>
      <c r="J8" s="31"/>
      <c r="K8" s="30"/>
      <c r="L8" s="66" t="s">
        <v>86</v>
      </c>
      <c r="M8" s="67"/>
      <c r="N8" s="68"/>
      <c r="O8" s="31"/>
      <c r="Q8" s="1"/>
      <c r="R8" s="1"/>
      <c r="S8" s="1"/>
    </row>
    <row r="9" spans="1:22" ht="22" customHeight="1" x14ac:dyDescent="0.2">
      <c r="A9" s="20"/>
      <c r="B9" s="32"/>
      <c r="C9" s="69">
        <f>SUM(forecast_2023_input[[Budget ]])</f>
        <v>272455972</v>
      </c>
      <c r="D9" s="70"/>
      <c r="E9" s="71"/>
      <c r="F9" s="32"/>
      <c r="G9" s="32"/>
      <c r="H9" s="69">
        <f>'Forecast 2023'!C28</f>
        <v>300001134</v>
      </c>
      <c r="I9" s="71"/>
      <c r="J9" s="36"/>
      <c r="K9" s="28"/>
      <c r="L9" s="72">
        <f>-('Forecast 2023'!B32-'Forecast 2023'!B33)/'Forecast 2023'!B33</f>
        <v>3.7020560866034653E-3</v>
      </c>
      <c r="M9" s="73"/>
      <c r="N9" s="74"/>
      <c r="O9" s="33"/>
      <c r="P9" s="22"/>
      <c r="Q9" s="1"/>
      <c r="R9" s="1"/>
      <c r="S9" s="1"/>
    </row>
    <row r="10" spans="1:22" ht="22" x14ac:dyDescent="0.2">
      <c r="B10" s="17"/>
      <c r="C10" s="17"/>
      <c r="D10" s="17"/>
      <c r="E10" s="17"/>
      <c r="F10" s="17"/>
      <c r="G10" s="17"/>
      <c r="I10" s="24"/>
      <c r="J10" s="24"/>
      <c r="K10" s="24"/>
      <c r="L10" s="24"/>
      <c r="M10" s="24"/>
      <c r="N10" s="19"/>
      <c r="Q10" s="1"/>
      <c r="R10" s="1"/>
      <c r="S10" s="1"/>
    </row>
    <row r="11" spans="1:22" x14ac:dyDescent="0.2">
      <c r="Q11" s="1"/>
      <c r="R11" s="1"/>
      <c r="S11" s="1"/>
    </row>
    <row r="12" spans="1:22" x14ac:dyDescent="0.2">
      <c r="Q12" s="1"/>
      <c r="R12" s="1"/>
      <c r="S12" s="1"/>
    </row>
    <row r="15" spans="1:22" ht="34" customHeight="1" x14ac:dyDescent="0.2">
      <c r="Q15" s="34"/>
      <c r="R15" s="64" t="s">
        <v>83</v>
      </c>
      <c r="S15" s="64"/>
      <c r="T15" s="28"/>
      <c r="U15" s="23"/>
      <c r="V15" s="23"/>
    </row>
    <row r="16" spans="1:22" ht="16" customHeight="1" x14ac:dyDescent="0.2">
      <c r="Q16" s="34"/>
      <c r="R16" s="34"/>
      <c r="S16" s="34"/>
      <c r="T16" s="28"/>
    </row>
    <row r="17" spans="2:22" ht="22" customHeight="1" x14ac:dyDescent="0.2">
      <c r="Q17" s="76" t="s">
        <v>78</v>
      </c>
      <c r="R17" s="76"/>
      <c r="S17" s="76"/>
      <c r="T17" s="76"/>
      <c r="U17" s="23"/>
      <c r="V17" s="23"/>
    </row>
    <row r="18" spans="2:22" ht="16" customHeight="1" x14ac:dyDescent="0.2">
      <c r="Q18" s="75" t="s">
        <v>79</v>
      </c>
      <c r="R18" s="75"/>
      <c r="S18" s="75"/>
      <c r="T18" s="75"/>
    </row>
    <row r="19" spans="2:22" x14ac:dyDescent="0.2">
      <c r="Q19" s="75"/>
      <c r="R19" s="75"/>
      <c r="S19" s="75"/>
      <c r="T19" s="75"/>
    </row>
    <row r="20" spans="2:22" x14ac:dyDescent="0.2">
      <c r="Q20" s="75"/>
      <c r="R20" s="75"/>
      <c r="S20" s="75"/>
      <c r="T20" s="75"/>
    </row>
    <row r="21" spans="2:22" ht="22" x14ac:dyDescent="0.2">
      <c r="Q21" s="27"/>
      <c r="R21" s="27"/>
      <c r="S21" s="27"/>
      <c r="T21" s="28"/>
      <c r="U21" s="21"/>
      <c r="V21" s="21"/>
    </row>
    <row r="22" spans="2:22" x14ac:dyDescent="0.2">
      <c r="Q22" s="34"/>
      <c r="R22" s="34"/>
      <c r="S22" s="34"/>
      <c r="T22" s="28"/>
    </row>
    <row r="23" spans="2:22" x14ac:dyDescent="0.2">
      <c r="Q23" s="78" t="s">
        <v>81</v>
      </c>
      <c r="R23" s="78"/>
      <c r="S23" s="78"/>
      <c r="T23" s="78"/>
    </row>
    <row r="24" spans="2:22" ht="16" customHeight="1" x14ac:dyDescent="0.2">
      <c r="Q24" s="75" t="s">
        <v>80</v>
      </c>
      <c r="R24" s="75"/>
      <c r="S24" s="75"/>
      <c r="T24" s="75"/>
    </row>
    <row r="25" spans="2:22" x14ac:dyDescent="0.2">
      <c r="Q25" s="75"/>
      <c r="R25" s="75"/>
      <c r="S25" s="75"/>
      <c r="T25" s="75"/>
    </row>
    <row r="26" spans="2:22" x14ac:dyDescent="0.2">
      <c r="Q26" s="75"/>
      <c r="R26" s="75"/>
      <c r="S26" s="75"/>
      <c r="T26" s="75"/>
    </row>
    <row r="27" spans="2:22" x14ac:dyDescent="0.2">
      <c r="Q27" s="27"/>
      <c r="R27" s="27"/>
      <c r="S27" s="27"/>
      <c r="T27" s="27"/>
    </row>
    <row r="28" spans="2:22" x14ac:dyDescent="0.2">
      <c r="Q28" s="27"/>
      <c r="R28" s="27"/>
      <c r="S28" s="27"/>
      <c r="T28" s="27"/>
    </row>
    <row r="29" spans="2:22" ht="16" customHeight="1" x14ac:dyDescent="0.2">
      <c r="B29" s="4"/>
      <c r="C29" s="4"/>
      <c r="D29" s="4"/>
      <c r="Q29" s="76" t="s">
        <v>82</v>
      </c>
      <c r="R29" s="76"/>
      <c r="S29" s="76"/>
      <c r="T29" s="76"/>
    </row>
    <row r="30" spans="2:22" ht="16" customHeight="1" x14ac:dyDescent="0.2">
      <c r="Q30" s="77" t="s">
        <v>87</v>
      </c>
      <c r="R30" s="77"/>
      <c r="S30" s="77"/>
      <c r="T30" s="77"/>
    </row>
    <row r="31" spans="2:22" x14ac:dyDescent="0.2">
      <c r="Q31" s="77"/>
      <c r="R31" s="77"/>
      <c r="S31" s="77"/>
      <c r="T31" s="77"/>
    </row>
    <row r="32" spans="2:22" x14ac:dyDescent="0.2">
      <c r="Q32" s="77"/>
      <c r="R32" s="77"/>
      <c r="S32" s="77"/>
      <c r="T32" s="77"/>
    </row>
    <row r="33" spans="2:20" x14ac:dyDescent="0.2">
      <c r="Q33" s="77"/>
      <c r="R33" s="77"/>
      <c r="S33" s="77"/>
      <c r="T33" s="77"/>
    </row>
    <row r="34" spans="2:20" x14ac:dyDescent="0.2">
      <c r="Q34" s="77"/>
      <c r="R34" s="77"/>
      <c r="S34" s="77"/>
      <c r="T34" s="77"/>
    </row>
    <row r="35" spans="2:20" x14ac:dyDescent="0.2">
      <c r="Q35" s="77"/>
      <c r="R35" s="77"/>
      <c r="S35" s="77"/>
      <c r="T35" s="77"/>
    </row>
    <row r="36" spans="2:20" x14ac:dyDescent="0.2">
      <c r="Q36" s="77"/>
      <c r="R36" s="77"/>
      <c r="S36" s="77"/>
      <c r="T36" s="77"/>
    </row>
    <row r="37" spans="2:20" x14ac:dyDescent="0.2">
      <c r="Q37" s="34"/>
      <c r="R37" s="34"/>
      <c r="S37" s="34"/>
      <c r="T37" s="28"/>
    </row>
    <row r="45" spans="2:20" x14ac:dyDescent="0.2">
      <c r="B45" s="43"/>
      <c r="C45" s="43"/>
      <c r="D45" s="43"/>
      <c r="E45" s="43"/>
      <c r="P45" s="17"/>
    </row>
    <row r="46" spans="2:20" x14ac:dyDescent="0.2">
      <c r="B46" s="65"/>
      <c r="C46" s="65"/>
      <c r="D46" s="65"/>
      <c r="E46" s="65"/>
    </row>
    <row r="47" spans="2:20" x14ac:dyDescent="0.2">
      <c r="B47" s="65"/>
      <c r="C47" s="65"/>
      <c r="D47" s="65"/>
      <c r="E47" s="65"/>
    </row>
    <row r="48" spans="2:20" x14ac:dyDescent="0.2">
      <c r="B48" s="65"/>
      <c r="C48" s="65"/>
      <c r="D48" s="65"/>
      <c r="E48" s="65"/>
    </row>
    <row r="49" spans="2:5" x14ac:dyDescent="0.2">
      <c r="B49" s="65"/>
      <c r="C49" s="65"/>
      <c r="D49" s="65"/>
      <c r="E49" s="65"/>
    </row>
    <row r="50" spans="2:5" x14ac:dyDescent="0.2">
      <c r="B50" s="65"/>
      <c r="C50" s="65"/>
      <c r="D50" s="65"/>
      <c r="E50" s="65"/>
    </row>
  </sheetData>
  <mergeCells count="27">
    <mergeCell ref="Q30:T36"/>
    <mergeCell ref="R15:S15"/>
    <mergeCell ref="B45:E45"/>
    <mergeCell ref="B46:E50"/>
    <mergeCell ref="C8:E8"/>
    <mergeCell ref="H8:I8"/>
    <mergeCell ref="L8:N8"/>
    <mergeCell ref="C9:E9"/>
    <mergeCell ref="H9:I9"/>
    <mergeCell ref="L9:N9"/>
    <mergeCell ref="Q18:T20"/>
    <mergeCell ref="Q17:T17"/>
    <mergeCell ref="Q24:T26"/>
    <mergeCell ref="Q29:T29"/>
    <mergeCell ref="Q23:T23"/>
    <mergeCell ref="B1:P2"/>
    <mergeCell ref="B3:P3"/>
    <mergeCell ref="H6:I6"/>
    <mergeCell ref="K6:L6"/>
    <mergeCell ref="N6:O6"/>
    <mergeCell ref="E5:F5"/>
    <mergeCell ref="B5:C5"/>
    <mergeCell ref="H5:I5"/>
    <mergeCell ref="K5:L5"/>
    <mergeCell ref="N5:O5"/>
    <mergeCell ref="B6:C6"/>
    <mergeCell ref="E6:F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9636E2-CF1F-E245-8C88-EEFBDE1607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Data</vt:lpstr>
      <vt:lpstr>Department Analysis</vt:lpstr>
      <vt:lpstr>Category Analysis</vt:lpstr>
      <vt:lpstr>Region Analysis</vt:lpstr>
      <vt:lpstr>Forecast 2023</vt:lpstr>
      <vt:lpstr>Scenario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Worsfold-Gregg,Morgan</dc:creator>
  <cp:lastModifiedBy>Worsfold-Gregg,Morgan</cp:lastModifiedBy>
  <dcterms:created xsi:type="dcterms:W3CDTF">2026-09-25T16:11:43Z</dcterms:created>
  <dcterms:modified xsi:type="dcterms:W3CDTF">2026-10-03T17:20:04Z</dcterms:modified>
</cp:coreProperties>
</file>